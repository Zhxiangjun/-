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说明与汇总" sheetId="1" state="visible" r:id="rId1"/>
    <sheet xmlns:r="http://schemas.openxmlformats.org/officeDocument/2006/relationships" name="01-功能清单(全量)" sheetId="2" state="visible" r:id="rId2"/>
    <sheet xmlns:r="http://schemas.openxmlformats.org/officeDocument/2006/relationships" name="02-优先级矩阵" sheetId="3" state="visible" r:id="rId3"/>
    <sheet xmlns:r="http://schemas.openxmlformats.org/officeDocument/2006/relationships" name="03-模块汇总" sheetId="4" state="visible" r:id="rId4"/>
    <sheet xmlns:r="http://schemas.openxmlformats.org/officeDocument/2006/relationships" name="04-硬件清单与预算" sheetId="5" state="visible" r:id="rId5"/>
    <sheet xmlns:r="http://schemas.openxmlformats.org/officeDocument/2006/relationships" name="05-团队与产能" sheetId="6" state="visible" r:id="rId6"/>
    <sheet xmlns:r="http://schemas.openxmlformats.org/officeDocument/2006/relationships" name="06-投资与预算情景" sheetId="7" state="visible" r:id="rId7"/>
    <sheet xmlns:r="http://schemas.openxmlformats.org/officeDocument/2006/relationships" name="07-里程碑计划" sheetId="8" state="visible" r:id="rId8"/>
  </sheets>
  <definedNames>
    <definedName name="_xlnm._FilterDatabase" localSheetId="1" hidden="1">'01-功能清单(全量)'!$A$1:$K$132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1F3864"/>
      <sz val="9"/>
    </font>
    <font>
      <name val="微软雅黑"/>
      <sz val="9"/>
    </font>
    <font>
      <name val="微软雅黑"/>
      <b val="1"/>
      <color rgb="001F3864"/>
      <sz val="11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color rgb="00808080"/>
      <sz val="8"/>
    </font>
    <font>
      <name val="微软雅黑"/>
      <b val="1"/>
      <sz val="10"/>
    </font>
    <font>
      <name val="微软雅黑"/>
      <b val="1"/>
      <color rgb="001F3864"/>
      <sz val="10"/>
    </font>
    <font>
      <name val="微软雅黑"/>
      <b val="1"/>
      <color rgb="00C00000"/>
      <sz val="8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2E5C8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  <xf numFmtId="0" fontId="8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3" fontId="7" fillId="2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14" customWidth="1" min="7" max="7"/>
    <col width="16" customWidth="1" min="8" max="8"/>
    <col width="14" customWidth="1" min="9" max="9"/>
  </cols>
  <sheetData>
    <row r="1" ht="30" customHeight="1">
      <c r="A1" s="1" t="inlineStr">
        <is>
          <t>“智园卫士”智慧校园（智慧园区）管理平台 — 功能清单与实施评估</t>
        </is>
      </c>
    </row>
    <row r="2" ht="16" customHeight="1">
      <c r="A2" s="2" t="inlineStr">
        <is>
          <t>版本 V1.0 ｜ 编制日期 2026 年 11 月 ｜ 密级：内部 ｜ 本表为全部交付物的功能与工期基准数据源</t>
        </is>
      </c>
    </row>
    <row r="4">
      <c r="A4" s="3" t="inlineStr">
        <is>
          <t>项目名称</t>
        </is>
      </c>
      <c r="B4" s="4" t="inlineStr">
        <is>
          <t>“智园卫士”智慧校园（智慧园区）管理平台</t>
        </is>
      </c>
    </row>
    <row r="5">
      <c r="A5" s="3" t="inlineStr">
        <is>
          <t>建设主体</t>
        </is>
      </c>
      <c r="B5" s="4" t="inlineStr">
        <is>
          <t>齐河县职业中等专业学校（齐河职专）</t>
        </is>
      </c>
    </row>
    <row r="6">
      <c r="A6" s="3" t="inlineStr">
        <is>
          <t>学校规模基线</t>
        </is>
      </c>
      <c r="B6" s="4" t="inlineStr">
        <is>
          <t>中等规模中职：3000—6000 名在校生，1—2 个校区</t>
        </is>
      </c>
    </row>
    <row r="7">
      <c r="A7" s="3" t="inlineStr">
        <is>
          <t>功能规模</t>
        </is>
      </c>
      <c r="B7" s="4" t="inlineStr">
        <is>
          <t>12 个一级模块 / 12 个模块下二级功能组 / 131 项功能</t>
        </is>
      </c>
    </row>
    <row r="8">
      <c r="A8" s="3" t="inlineStr">
        <is>
          <t>工时口径</t>
        </is>
      </c>
      <c r="B8" s="4" t="inlineStr">
        <is>
          <t>人天（1 人 × 8 小时）；含开发、自测、联调、文档与返工系数（MVP×1.4，后续版本×1.25）</t>
        </is>
      </c>
    </row>
    <row r="9">
      <c r="A9" s="3" t="inlineStr">
        <is>
          <t>总工程量</t>
        </is>
      </c>
      <c r="B9" s="4" t="inlineStr">
        <is>
          <t>1705 人天（商业级完整交付口径）</t>
        </is>
      </c>
    </row>
    <row r="10">
      <c r="A10" s="3" t="inlineStr">
        <is>
          <t>人天单价假设</t>
        </is>
      </c>
      <c r="B10" s="4" t="inlineStr">
        <is>
          <t>1200 元/人天（商业级综合单价，含税）</t>
        </is>
      </c>
    </row>
    <row r="11">
      <c r="A11" s="3" t="inlineStr">
        <is>
          <t>团队月度产能假设</t>
        </is>
      </c>
      <c r="B11" s="4" t="inlineStr">
        <is>
          <t>128 人天/月（8 人团队 × 约 4 人天/周 × 4 周）</t>
        </is>
      </c>
    </row>
    <row r="12">
      <c r="A12" s="3" t="inlineStr">
        <is>
          <t>优先级说明</t>
        </is>
      </c>
      <c r="B12" s="4" t="inlineStr">
        <is>
          <t>P0 必须实现（缺则系统不成立）｜P1 重要（显著提升价值）｜P2 增强（提升体验）｜P3 可选（远期）</t>
        </is>
      </c>
    </row>
    <row r="13">
      <c r="A13" s="3" t="inlineStr">
        <is>
          <t>版本批次说明</t>
        </is>
      </c>
      <c r="B13" s="4" t="inlineStr">
        <is>
          <t>MVP 最小可用闭环｜V1 首个商业版本｜V2 平台化增强｜V3 智能化与生态</t>
        </is>
      </c>
    </row>
    <row r="15">
      <c r="A15" s="5" t="inlineStr">
        <is>
          <t>版本批次汇总</t>
        </is>
      </c>
    </row>
    <row r="16">
      <c r="A16" s="6" t="inlineStr">
        <is>
          <t>版本批次</t>
        </is>
      </c>
      <c r="B16" s="6" t="inlineStr">
        <is>
          <t>功能项数</t>
        </is>
      </c>
      <c r="C16" s="6" t="inlineStr">
        <is>
          <t>P0</t>
        </is>
      </c>
      <c r="D16" s="6" t="inlineStr">
        <is>
          <t>P1</t>
        </is>
      </c>
      <c r="E16" s="6" t="inlineStr">
        <is>
          <t>P2</t>
        </is>
      </c>
      <c r="F16" s="6" t="inlineStr">
        <is>
          <t>P3</t>
        </is>
      </c>
      <c r="G16" s="6" t="inlineStr">
        <is>
          <t>工程量(人天)</t>
        </is>
      </c>
      <c r="H16" s="6" t="inlineStr">
        <is>
          <t>人力成本(元)</t>
        </is>
      </c>
      <c r="I16" s="6" t="inlineStr">
        <is>
          <t>周期估算(月)</t>
        </is>
      </c>
    </row>
    <row r="17">
      <c r="A17" s="7" t="inlineStr">
        <is>
          <t>MVP</t>
        </is>
      </c>
      <c r="B17" s="7" t="n">
        <v>31</v>
      </c>
      <c r="C17" s="7" t="n">
        <v>31</v>
      </c>
      <c r="D17" s="7" t="n">
        <v>0</v>
      </c>
      <c r="E17" s="7" t="n">
        <v>0</v>
      </c>
      <c r="F17" s="7" t="n">
        <v>0</v>
      </c>
      <c r="G17" s="7" t="n">
        <v>479</v>
      </c>
      <c r="H17" s="8" t="n">
        <v>574800</v>
      </c>
      <c r="I17" s="7" t="n">
        <v>4.2</v>
      </c>
    </row>
    <row r="18">
      <c r="A18" s="7" t="inlineStr">
        <is>
          <t>V1</t>
        </is>
      </c>
      <c r="B18" s="7" t="n">
        <v>44</v>
      </c>
      <c r="C18" s="7" t="n">
        <v>17</v>
      </c>
      <c r="D18" s="7" t="n">
        <v>27</v>
      </c>
      <c r="E18" s="7" t="n">
        <v>0</v>
      </c>
      <c r="F18" s="7" t="n">
        <v>0</v>
      </c>
      <c r="G18" s="7" t="n">
        <v>560</v>
      </c>
      <c r="H18" s="8" t="n">
        <v>672000</v>
      </c>
      <c r="I18" s="7" t="n">
        <v>4.9</v>
      </c>
    </row>
    <row r="19">
      <c r="A19" s="7" t="inlineStr">
        <is>
          <t>V2</t>
        </is>
      </c>
      <c r="B19" s="7" t="n">
        <v>38</v>
      </c>
      <c r="C19" s="7" t="n">
        <v>0</v>
      </c>
      <c r="D19" s="7" t="n">
        <v>16</v>
      </c>
      <c r="E19" s="7" t="n">
        <v>22</v>
      </c>
      <c r="F19" s="7" t="n">
        <v>0</v>
      </c>
      <c r="G19" s="7" t="n">
        <v>455</v>
      </c>
      <c r="H19" s="8" t="n">
        <v>546000</v>
      </c>
      <c r="I19" s="7" t="n">
        <v>4.1</v>
      </c>
    </row>
    <row r="20">
      <c r="A20" s="7" t="inlineStr">
        <is>
          <t>V3</t>
        </is>
      </c>
      <c r="B20" s="7" t="n">
        <v>18</v>
      </c>
      <c r="C20" s="7" t="n">
        <v>0</v>
      </c>
      <c r="D20" s="7" t="n">
        <v>1</v>
      </c>
      <c r="E20" s="7" t="n">
        <v>7</v>
      </c>
      <c r="F20" s="7" t="n">
        <v>10</v>
      </c>
      <c r="G20" s="7" t="n">
        <v>211</v>
      </c>
      <c r="H20" s="8" t="n">
        <v>253200</v>
      </c>
      <c r="I20" s="7" t="n">
        <v>2.1</v>
      </c>
    </row>
    <row r="21">
      <c r="A21" s="9" t="inlineStr">
        <is>
          <t>合计</t>
        </is>
      </c>
      <c r="B21" s="9" t="n">
        <v>131</v>
      </c>
      <c r="C21" s="9" t="n"/>
      <c r="D21" s="9" t="n"/>
      <c r="E21" s="9" t="n"/>
      <c r="F21" s="9" t="n"/>
      <c r="G21" s="9" t="n">
        <v>1705</v>
      </c>
      <c r="H21" s="10" t="n">
        <v>2046000</v>
      </c>
      <c r="I21" s="9" t="n">
        <v>13.3</v>
      </c>
    </row>
    <row r="23">
      <c r="A23" s="11" t="inlineStr">
        <is>
          <t>注：周期估算 = 工程量 ÷ 团队月度产能，未计并行度损失与假期，实际排期以《实施路线图与里程碑计划》为准。</t>
        </is>
      </c>
    </row>
  </sheetData>
  <mergeCells count="12">
    <mergeCell ref="B4:F4"/>
    <mergeCell ref="A2:F2"/>
    <mergeCell ref="B12:F12"/>
    <mergeCell ref="B7:F7"/>
    <mergeCell ref="B6:F6"/>
    <mergeCell ref="B10:F10"/>
    <mergeCell ref="A1:F1"/>
    <mergeCell ref="B11:F11"/>
    <mergeCell ref="B5:F5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6" customWidth="1" min="4" max="4"/>
    <col width="62" customWidth="1" min="5" max="5"/>
    <col width="8" customWidth="1" min="6" max="6"/>
    <col width="10" customWidth="1" min="7" max="7"/>
    <col width="14" customWidth="1" min="8" max="8"/>
    <col width="16" customWidth="1" min="9" max="9"/>
    <col width="14" customWidth="1" min="10" max="10"/>
    <col width="14" customWidth="1" min="11" max="11"/>
  </cols>
  <sheetData>
    <row r="1">
      <c r="A1" s="12" t="inlineStr">
        <is>
          <t>功能编号</t>
        </is>
      </c>
      <c r="B1" s="12" t="inlineStr">
        <is>
          <t>一级模块</t>
        </is>
      </c>
      <c r="C1" s="12" t="inlineStr">
        <is>
          <t>二级功能组</t>
        </is>
      </c>
      <c r="D1" s="12" t="inlineStr">
        <is>
          <t>功能名称</t>
        </is>
      </c>
      <c r="E1" s="12" t="inlineStr">
        <is>
          <t>功能描述</t>
        </is>
      </c>
      <c r="F1" s="12" t="inlineStr">
        <is>
          <t>优先级</t>
        </is>
      </c>
      <c r="G1" s="12" t="inlineStr">
        <is>
          <t>交付批次</t>
        </is>
      </c>
      <c r="H1" s="12" t="inlineStr">
        <is>
          <t>工时基线(人天)</t>
        </is>
      </c>
      <c r="I1" s="12" t="inlineStr">
        <is>
          <t>估算工程量(人天)</t>
        </is>
      </c>
      <c r="J1" s="12" t="inlineStr">
        <is>
          <t>人力成本(元)</t>
        </is>
      </c>
      <c r="K1" s="12" t="inlineStr">
        <is>
          <t>是否含硬件对接</t>
        </is>
      </c>
    </row>
    <row r="2">
      <c r="A2" s="7" t="inlineStr">
        <is>
          <t>M01-001</t>
        </is>
      </c>
      <c r="B2" s="7" t="inlineStr">
        <is>
          <t>人员与组织管理</t>
        </is>
      </c>
      <c r="C2" s="7" t="inlineStr">
        <is>
          <t>人员信息</t>
        </is>
      </c>
      <c r="D2" s="7" t="inlineStr">
        <is>
          <t>统一身份中心</t>
        </is>
      </c>
      <c r="E2" s="7" t="inlineStr">
        <is>
          <t>全校人员统一账号与唯一身份标识（学生/教职工/第三方/访客四类主体），支持一人多角色</t>
        </is>
      </c>
      <c r="F2" s="7" t="inlineStr">
        <is>
          <t>P0</t>
        </is>
      </c>
      <c r="G2" s="7" t="inlineStr">
        <is>
          <t>MVP</t>
        </is>
      </c>
      <c r="H2" s="7" t="n">
        <v>13</v>
      </c>
      <c r="I2" s="7" t="n">
        <v>18</v>
      </c>
      <c r="J2" s="8" t="n">
        <v>21600</v>
      </c>
      <c r="K2" s="7" t="inlineStr">
        <is>
          <t>部分</t>
        </is>
      </c>
    </row>
    <row r="3">
      <c r="A3" s="7" t="inlineStr">
        <is>
          <t>M01-002</t>
        </is>
      </c>
      <c r="B3" s="7" t="inlineStr">
        <is>
          <t>人员与组织管理</t>
        </is>
      </c>
      <c r="C3" s="7" t="inlineStr">
        <is>
          <t>人员信息</t>
        </is>
      </c>
      <c r="D3" s="7" t="inlineStr">
        <is>
          <t>人员基础信息管理</t>
        </is>
      </c>
      <c r="E3" s="7" t="inlineStr">
        <is>
          <t>人员档案的新增、编辑、批量导入导出、照片与证件资料管理</t>
        </is>
      </c>
      <c r="F3" s="7" t="inlineStr">
        <is>
          <t>P0</t>
        </is>
      </c>
      <c r="G3" s="7" t="inlineStr">
        <is>
          <t>MVP</t>
        </is>
      </c>
      <c r="H3" s="7" t="n">
        <v>5</v>
      </c>
      <c r="I3" s="7" t="n">
        <v>7</v>
      </c>
      <c r="J3" s="8" t="n">
        <v>8400</v>
      </c>
      <c r="K3" s="7" t="inlineStr">
        <is>
          <t>否</t>
        </is>
      </c>
    </row>
    <row r="4">
      <c r="A4" s="7" t="inlineStr">
        <is>
          <t>M01-003</t>
        </is>
      </c>
      <c r="B4" s="7" t="inlineStr">
        <is>
          <t>人员与组织管理</t>
        </is>
      </c>
      <c r="C4" s="7" t="inlineStr">
        <is>
          <t>人员信息</t>
        </is>
      </c>
      <c r="D4" s="7" t="inlineStr">
        <is>
          <t>人员分类与身份属性</t>
        </is>
      </c>
      <c r="E4" s="7" t="inlineStr">
        <is>
          <t>学生、教职工、第三方服务人员、来访人员分类建档，支持身份属性扩展</t>
        </is>
      </c>
      <c r="F4" s="7" t="inlineStr">
        <is>
          <t>P0</t>
        </is>
      </c>
      <c r="G4" s="7" t="inlineStr">
        <is>
          <t>MVP</t>
        </is>
      </c>
      <c r="H4" s="7" t="n">
        <v>8</v>
      </c>
      <c r="I4" s="7" t="n">
        <v>11</v>
      </c>
      <c r="J4" s="8" t="n">
        <v>13200</v>
      </c>
      <c r="K4" s="7" t="inlineStr">
        <is>
          <t>否</t>
        </is>
      </c>
    </row>
    <row r="5">
      <c r="A5" s="7" t="inlineStr">
        <is>
          <t>M01-004</t>
        </is>
      </c>
      <c r="B5" s="7" t="inlineStr">
        <is>
          <t>人员与组织管理</t>
        </is>
      </c>
      <c r="C5" s="7" t="inlineStr">
        <is>
          <t>组织架构</t>
        </is>
      </c>
      <c r="D5" s="7" t="inlineStr">
        <is>
          <t>多层级组织管理</t>
        </is>
      </c>
      <c r="E5" s="7" t="inlineStr">
        <is>
          <t>学校—系部/处室—班级/办公室—小组的多层级组织树维护与调整</t>
        </is>
      </c>
      <c r="F5" s="7" t="inlineStr">
        <is>
          <t>P0</t>
        </is>
      </c>
      <c r="G5" s="7" t="inlineStr">
        <is>
          <t>MVP</t>
        </is>
      </c>
      <c r="H5" s="7" t="n">
        <v>8</v>
      </c>
      <c r="I5" s="7" t="n">
        <v>11</v>
      </c>
      <c r="J5" s="8" t="n">
        <v>13200</v>
      </c>
      <c r="K5" s="7" t="inlineStr">
        <is>
          <t>否</t>
        </is>
      </c>
    </row>
    <row r="6">
      <c r="A6" s="7" t="inlineStr">
        <is>
          <t>M01-005</t>
        </is>
      </c>
      <c r="B6" s="7" t="inlineStr">
        <is>
          <t>人员与组织管理</t>
        </is>
      </c>
      <c r="C6" s="7" t="inlineStr">
        <is>
          <t>组织架构</t>
        </is>
      </c>
      <c r="D6" s="7" t="inlineStr">
        <is>
          <t>组织与人员绑定</t>
        </is>
      </c>
      <c r="E6" s="7" t="inlineStr">
        <is>
          <t>教师挂接办公室/教研组，学生挂接班级/专业，第三方人员挂接所属服务单位</t>
        </is>
      </c>
      <c r="F6" s="7" t="inlineStr">
        <is>
          <t>P0</t>
        </is>
      </c>
      <c r="G6" s="7" t="inlineStr">
        <is>
          <t>MVP</t>
        </is>
      </c>
      <c r="H6" s="7" t="n">
        <v>8</v>
      </c>
      <c r="I6" s="7" t="n">
        <v>11</v>
      </c>
      <c r="J6" s="8" t="n">
        <v>13200</v>
      </c>
      <c r="K6" s="7" t="inlineStr">
        <is>
          <t>否</t>
        </is>
      </c>
    </row>
    <row r="7">
      <c r="A7" s="7" t="inlineStr">
        <is>
          <t>M01-006</t>
        </is>
      </c>
      <c r="B7" s="7" t="inlineStr">
        <is>
          <t>人员与组织管理</t>
        </is>
      </c>
      <c r="C7" s="7" t="inlineStr">
        <is>
          <t>组织架构</t>
        </is>
      </c>
      <c r="D7" s="7" t="inlineStr">
        <is>
          <t>组织变更历史追溯</t>
        </is>
      </c>
      <c r="E7" s="7" t="inlineStr">
        <is>
          <t>组织调整、人员调动留痕，支持按时间点回溯组织关系</t>
        </is>
      </c>
      <c r="F7" s="7" t="inlineStr">
        <is>
          <t>P2</t>
        </is>
      </c>
      <c r="G7" s="7" t="inlineStr">
        <is>
          <t>V2</t>
        </is>
      </c>
      <c r="H7" s="7" t="n">
        <v>8</v>
      </c>
      <c r="I7" s="7" t="n">
        <v>10</v>
      </c>
      <c r="J7" s="8" t="n">
        <v>12000</v>
      </c>
      <c r="K7" s="7" t="inlineStr">
        <is>
          <t>否</t>
        </is>
      </c>
    </row>
    <row r="8">
      <c r="A8" s="7" t="inlineStr">
        <is>
          <t>M01-007</t>
        </is>
      </c>
      <c r="B8" s="7" t="inlineStr">
        <is>
          <t>人员与组织管理</t>
        </is>
      </c>
      <c r="C8" s="7" t="inlineStr">
        <is>
          <t>场所空间</t>
        </is>
      </c>
      <c r="D8" s="7" t="inlineStr">
        <is>
          <t>校园场所空间建模</t>
        </is>
      </c>
      <c r="E8" s="7" t="inlineStr">
        <is>
          <t>校区—楼栋—楼层—房间—区域（宿舍/教室/办公室/食堂/实训室）五级空间建模</t>
        </is>
      </c>
      <c r="F8" s="7" t="inlineStr">
        <is>
          <t>P0</t>
        </is>
      </c>
      <c r="G8" s="7" t="inlineStr">
        <is>
          <t>MVP</t>
        </is>
      </c>
      <c r="H8" s="7" t="n">
        <v>8</v>
      </c>
      <c r="I8" s="7" t="n">
        <v>11</v>
      </c>
      <c r="J8" s="8" t="n">
        <v>13200</v>
      </c>
      <c r="K8" s="7" t="inlineStr">
        <is>
          <t>否</t>
        </is>
      </c>
    </row>
    <row r="9">
      <c r="A9" s="7" t="inlineStr">
        <is>
          <t>M01-008</t>
        </is>
      </c>
      <c r="B9" s="7" t="inlineStr">
        <is>
          <t>人员与组织管理</t>
        </is>
      </c>
      <c r="C9" s="7" t="inlineStr">
        <is>
          <t>场所空间</t>
        </is>
      </c>
      <c r="D9" s="7" t="inlineStr">
        <is>
          <t>场所责任人管理</t>
        </is>
      </c>
      <c r="E9" s="7" t="inlineStr">
        <is>
          <t>为每间教室、办公室、宿舍、实训室指定责任人，用于预警派单与巡查</t>
        </is>
      </c>
      <c r="F9" s="7" t="inlineStr">
        <is>
          <t>P0</t>
        </is>
      </c>
      <c r="G9" s="7" t="inlineStr">
        <is>
          <t>V1</t>
        </is>
      </c>
      <c r="H9" s="7" t="n">
        <v>8</v>
      </c>
      <c r="I9" s="7" t="n">
        <v>10</v>
      </c>
      <c r="J9" s="8" t="n">
        <v>12000</v>
      </c>
      <c r="K9" s="7" t="inlineStr">
        <is>
          <t>否</t>
        </is>
      </c>
    </row>
    <row r="10">
      <c r="A10" s="7" t="inlineStr">
        <is>
          <t>M01-009</t>
        </is>
      </c>
      <c r="B10" s="7" t="inlineStr">
        <is>
          <t>人员与组织管理</t>
        </is>
      </c>
      <c r="C10" s="7" t="inlineStr">
        <is>
          <t>人员信息</t>
        </is>
      </c>
      <c r="D10" s="7" t="inlineStr">
        <is>
          <t>第三方工作人员管理</t>
        </is>
      </c>
      <c r="E10" s="7" t="inlineStr">
        <is>
          <t>食堂、门卫、保洁、宿管、施工人员等外包人员建档、合同期限与上岗资格管理</t>
        </is>
      </c>
      <c r="F10" s="7" t="inlineStr">
        <is>
          <t>P1</t>
        </is>
      </c>
      <c r="G10" s="7" t="inlineStr">
        <is>
          <t>V1</t>
        </is>
      </c>
      <c r="H10" s="7" t="n">
        <v>8</v>
      </c>
      <c r="I10" s="7" t="n">
        <v>10</v>
      </c>
      <c r="J10" s="8" t="n">
        <v>12000</v>
      </c>
      <c r="K10" s="7" t="inlineStr">
        <is>
          <t>否</t>
        </is>
      </c>
    </row>
    <row r="11">
      <c r="A11" s="7" t="inlineStr">
        <is>
          <t>M01-010</t>
        </is>
      </c>
      <c r="B11" s="7" t="inlineStr">
        <is>
          <t>人员与组织管理</t>
        </is>
      </c>
      <c r="C11" s="7" t="inlineStr">
        <is>
          <t>人员信息</t>
        </is>
      </c>
      <c r="D11" s="7" t="inlineStr">
        <is>
          <t>人员标签体系</t>
        </is>
      </c>
      <c r="E11" s="7" t="inlineStr">
        <is>
          <t>自定义标签（如走读生、通校生、重点关注、实训外出），支撑精准通知与分组管控</t>
        </is>
      </c>
      <c r="F11" s="7" t="inlineStr">
        <is>
          <t>P1</t>
        </is>
      </c>
      <c r="G11" s="7" t="inlineStr">
        <is>
          <t>V1</t>
        </is>
      </c>
      <c r="H11" s="7" t="n">
        <v>8</v>
      </c>
      <c r="I11" s="7" t="n">
        <v>10</v>
      </c>
      <c r="J11" s="8" t="n">
        <v>12000</v>
      </c>
      <c r="K11" s="7" t="inlineStr">
        <is>
          <t>否</t>
        </is>
      </c>
    </row>
    <row r="12">
      <c r="A12" s="7" t="inlineStr">
        <is>
          <t>M01-011</t>
        </is>
      </c>
      <c r="B12" s="7" t="inlineStr">
        <is>
          <t>人员与组织管理</t>
        </is>
      </c>
      <c r="C12" s="7" t="inlineStr">
        <is>
          <t>数据同步</t>
        </is>
      </c>
      <c r="D12" s="7" t="inlineStr">
        <is>
          <t>多源数据同步与对接</t>
        </is>
      </c>
      <c r="E12" s="7" t="inlineStr">
        <is>
          <t>对接学籍系统、教务系统、人事/OA 系统，实现人员与组织数据自动同步与冲突处理</t>
        </is>
      </c>
      <c r="F12" s="7" t="inlineStr">
        <is>
          <t>P1</t>
        </is>
      </c>
      <c r="G12" s="7" t="inlineStr">
        <is>
          <t>V1</t>
        </is>
      </c>
      <c r="H12" s="7" t="n">
        <v>13</v>
      </c>
      <c r="I12" s="7" t="n">
        <v>16</v>
      </c>
      <c r="J12" s="8" t="n">
        <v>19200</v>
      </c>
      <c r="K12" s="7" t="inlineStr">
        <is>
          <t>部分</t>
        </is>
      </c>
    </row>
    <row r="13">
      <c r="A13" s="7" t="inlineStr">
        <is>
          <t>M01-012</t>
        </is>
      </c>
      <c r="B13" s="7" t="inlineStr">
        <is>
          <t>人员与组织管理</t>
        </is>
      </c>
      <c r="C13" s="7" t="inlineStr">
        <is>
          <t>数据同步</t>
        </is>
      </c>
      <c r="D13" s="7" t="inlineStr">
        <is>
          <t>人员信息变更与离校处理</t>
        </is>
      </c>
      <c r="E13" s="7" t="inlineStr">
        <is>
          <t>转班、转专业、休学、退学、离职等状态变更与权限自动回收</t>
        </is>
      </c>
      <c r="F13" s="7" t="inlineStr">
        <is>
          <t>P0</t>
        </is>
      </c>
      <c r="G13" s="7" t="inlineStr">
        <is>
          <t>V1</t>
        </is>
      </c>
      <c r="H13" s="7" t="n">
        <v>8</v>
      </c>
      <c r="I13" s="7" t="n">
        <v>10</v>
      </c>
      <c r="J13" s="8" t="n">
        <v>12000</v>
      </c>
      <c r="K13" s="7" t="inlineStr">
        <is>
          <t>否</t>
        </is>
      </c>
    </row>
    <row r="14">
      <c r="A14" s="7" t="inlineStr">
        <is>
          <t>M01-013</t>
        </is>
      </c>
      <c r="B14" s="7" t="inlineStr">
        <is>
          <t>人员与组织管理</t>
        </is>
      </c>
      <c r="C14" s="7" t="inlineStr">
        <is>
          <t>人员信息</t>
        </is>
      </c>
      <c r="D14" s="7" t="inlineStr">
        <is>
          <t>黑名单与重点人员管理</t>
        </is>
      </c>
      <c r="E14" s="7" t="inlineStr">
        <is>
          <t>校内重点关注人员与外来黑名单库，触发到场提醒与限制通行</t>
        </is>
      </c>
      <c r="F14" s="7" t="inlineStr">
        <is>
          <t>P1</t>
        </is>
      </c>
      <c r="G14" s="7" t="inlineStr">
        <is>
          <t>V1</t>
        </is>
      </c>
      <c r="H14" s="7" t="n">
        <v>8</v>
      </c>
      <c r="I14" s="7" t="n">
        <v>10</v>
      </c>
      <c r="J14" s="8" t="n">
        <v>12000</v>
      </c>
      <c r="K14" s="7" t="inlineStr">
        <is>
          <t>否</t>
        </is>
      </c>
    </row>
    <row r="15">
      <c r="A15" s="7" t="inlineStr">
        <is>
          <t>M01-014</t>
        </is>
      </c>
      <c r="B15" s="7" t="inlineStr">
        <is>
          <t>人员与组织管理</t>
        </is>
      </c>
      <c r="C15" s="7" t="inlineStr">
        <is>
          <t>状态看板</t>
        </is>
      </c>
      <c r="D15" s="7" t="inlineStr">
        <is>
          <t>人员在校状态总览</t>
        </is>
      </c>
      <c r="E15" s="7" t="inlineStr">
        <is>
          <t>实时统计在校人数、离校人数、请假人数、外出实训人数与分布</t>
        </is>
      </c>
      <c r="F15" s="7" t="inlineStr">
        <is>
          <t>P0</t>
        </is>
      </c>
      <c r="G15" s="7" t="inlineStr">
        <is>
          <t>V1</t>
        </is>
      </c>
      <c r="H15" s="7" t="n">
        <v>8</v>
      </c>
      <c r="I15" s="7" t="n">
        <v>10</v>
      </c>
      <c r="J15" s="8" t="n">
        <v>12000</v>
      </c>
      <c r="K15" s="7" t="inlineStr">
        <is>
          <t>否</t>
        </is>
      </c>
    </row>
    <row r="16">
      <c r="A16" s="7" t="inlineStr">
        <is>
          <t>M01-015</t>
        </is>
      </c>
      <c r="B16" s="7" t="inlineStr">
        <is>
          <t>人员与组织管理</t>
        </is>
      </c>
      <c r="C16" s="7" t="inlineStr">
        <is>
          <t>状态看板</t>
        </is>
      </c>
      <c r="D16" s="7" t="inlineStr">
        <is>
          <t>人员进出动态看板</t>
        </is>
      </c>
      <c r="E16" s="7" t="inlineStr">
        <is>
          <t>按校门、楼栋、时段展示人员进出流量与滞留情况</t>
        </is>
      </c>
      <c r="F16" s="7" t="inlineStr">
        <is>
          <t>P1</t>
        </is>
      </c>
      <c r="G16" s="7" t="inlineStr">
        <is>
          <t>V2</t>
        </is>
      </c>
      <c r="H16" s="7" t="n">
        <v>8</v>
      </c>
      <c r="I16" s="7" t="n">
        <v>10</v>
      </c>
      <c r="J16" s="8" t="n">
        <v>12000</v>
      </c>
      <c r="K16" s="7" t="inlineStr">
        <is>
          <t>否</t>
        </is>
      </c>
    </row>
    <row r="17">
      <c r="A17" s="7" t="inlineStr">
        <is>
          <t>M02-016</t>
        </is>
      </c>
      <c r="B17" s="7" t="inlineStr">
        <is>
          <t>通行与门禁管理</t>
        </is>
      </c>
      <c r="C17" s="7" t="inlineStr">
        <is>
          <t>设备管理</t>
        </is>
      </c>
      <c r="D17" s="7" t="inlineStr">
        <is>
          <t>门禁设备全生命周期管理</t>
        </is>
      </c>
      <c r="E17" s="7" t="inlineStr">
        <is>
          <t>读头、闸机、门锁、访客机等设备的注册、参数配置、心跳监测、离线告警与固件管理</t>
        </is>
      </c>
      <c r="F17" s="7" t="inlineStr">
        <is>
          <t>P0</t>
        </is>
      </c>
      <c r="G17" s="7" t="inlineStr">
        <is>
          <t>MVP</t>
        </is>
      </c>
      <c r="H17" s="7" t="n">
        <v>15</v>
      </c>
      <c r="I17" s="7" t="n">
        <v>21</v>
      </c>
      <c r="J17" s="8" t="n">
        <v>25200</v>
      </c>
      <c r="K17" s="7" t="inlineStr">
        <is>
          <t>是</t>
        </is>
      </c>
    </row>
    <row r="18">
      <c r="A18" s="7" t="inlineStr">
        <is>
          <t>M02-017</t>
        </is>
      </c>
      <c r="B18" s="7" t="inlineStr">
        <is>
          <t>通行与门禁管理</t>
        </is>
      </c>
      <c r="C18" s="7" t="inlineStr">
        <is>
          <t>设备管理</t>
        </is>
      </c>
      <c r="D18" s="7" t="inlineStr">
        <is>
          <t>通行凭证管理</t>
        </is>
      </c>
      <c r="E18" s="7" t="inlineStr">
        <is>
          <t>人脸、校园卡、二维码、身份证、车牌等凭证的绑定、挂失、补办与有效期管理</t>
        </is>
      </c>
      <c r="F18" s="7" t="inlineStr">
        <is>
          <t>P0</t>
        </is>
      </c>
      <c r="G18" s="7" t="inlineStr">
        <is>
          <t>MVP</t>
        </is>
      </c>
      <c r="H18" s="7" t="n">
        <v>15</v>
      </c>
      <c r="I18" s="7" t="n">
        <v>21</v>
      </c>
      <c r="J18" s="8" t="n">
        <v>25200</v>
      </c>
      <c r="K18" s="7" t="inlineStr">
        <is>
          <t>是</t>
        </is>
      </c>
    </row>
    <row r="19">
      <c r="A19" s="7" t="inlineStr">
        <is>
          <t>M02-018</t>
        </is>
      </c>
      <c r="B19" s="7" t="inlineStr">
        <is>
          <t>通行与门禁管理</t>
        </is>
      </c>
      <c r="C19" s="7" t="inlineStr">
        <is>
          <t>策略引擎</t>
        </is>
      </c>
      <c r="D19" s="7" t="inlineStr">
        <is>
          <t>通行策略引擎</t>
        </is>
      </c>
      <c r="E19" s="7" t="inlineStr">
        <is>
          <t>按人员类别 × 区域 × 时段 × 凭证组合配置通行规则，支持临时授权与优先级</t>
        </is>
      </c>
      <c r="F19" s="7" t="inlineStr">
        <is>
          <t>P0</t>
        </is>
      </c>
      <c r="G19" s="7" t="inlineStr">
        <is>
          <t>MVP</t>
        </is>
      </c>
      <c r="H19" s="7" t="n">
        <v>13</v>
      </c>
      <c r="I19" s="7" t="n">
        <v>18</v>
      </c>
      <c r="J19" s="8" t="n">
        <v>21600</v>
      </c>
      <c r="K19" s="7" t="inlineStr">
        <is>
          <t>部分</t>
        </is>
      </c>
    </row>
    <row r="20">
      <c r="A20" s="7" t="inlineStr">
        <is>
          <t>M02-019</t>
        </is>
      </c>
      <c r="B20" s="7" t="inlineStr">
        <is>
          <t>通行与门禁管理</t>
        </is>
      </c>
      <c r="C20" s="7" t="inlineStr">
        <is>
          <t>通行控制</t>
        </is>
      </c>
      <c r="D20" s="7" t="inlineStr">
        <is>
          <t>闸机鉴权与快速通行</t>
        </is>
      </c>
      <c r="E20" s="7" t="inlineStr">
        <is>
          <t>联网在线鉴权响应 ≤300ms，支持离线白名单本地放行与恢复后补传</t>
        </is>
      </c>
      <c r="F20" s="7" t="inlineStr">
        <is>
          <t>P0</t>
        </is>
      </c>
      <c r="G20" s="7" t="inlineStr">
        <is>
          <t>MVP</t>
        </is>
      </c>
      <c r="H20" s="7" t="n">
        <v>15</v>
      </c>
      <c r="I20" s="7" t="n">
        <v>21</v>
      </c>
      <c r="J20" s="8" t="n">
        <v>25200</v>
      </c>
      <c r="K20" s="7" t="inlineStr">
        <is>
          <t>是</t>
        </is>
      </c>
    </row>
    <row r="21">
      <c r="A21" s="7" t="inlineStr">
        <is>
          <t>M02-020</t>
        </is>
      </c>
      <c r="B21" s="7" t="inlineStr">
        <is>
          <t>通行与门禁管理</t>
        </is>
      </c>
      <c r="C21" s="7" t="inlineStr">
        <is>
          <t>通行控制</t>
        </is>
      </c>
      <c r="D21" s="7" t="inlineStr">
        <is>
          <t>校门出入通行管理</t>
        </is>
      </c>
      <c r="E21" s="7" t="inlineStr">
        <is>
          <t>正门/侧门/后勤门分类管控，走读生与住校生差异化策略</t>
        </is>
      </c>
      <c r="F21" s="7" t="inlineStr">
        <is>
          <t>P0</t>
        </is>
      </c>
      <c r="G21" s="7" t="inlineStr">
        <is>
          <t>MVP</t>
        </is>
      </c>
      <c r="H21" s="7" t="n">
        <v>8</v>
      </c>
      <c r="I21" s="7" t="n">
        <v>11</v>
      </c>
      <c r="J21" s="8" t="n">
        <v>13200</v>
      </c>
      <c r="K21" s="7" t="inlineStr">
        <is>
          <t>否</t>
        </is>
      </c>
    </row>
    <row r="22">
      <c r="A22" s="7" t="inlineStr">
        <is>
          <t>M02-021</t>
        </is>
      </c>
      <c r="B22" s="7" t="inlineStr">
        <is>
          <t>通行与门禁管理</t>
        </is>
      </c>
      <c r="C22" s="7" t="inlineStr">
        <is>
          <t>通行控制</t>
        </is>
      </c>
      <c r="D22" s="7" t="inlineStr">
        <is>
          <t>楼宇与功能室门禁</t>
        </is>
      </c>
      <c r="E22" s="7" t="inlineStr">
        <is>
          <t>教学楼、实训室、宿舍楼、办公室、财务室、危化品库等分级授权开门</t>
        </is>
      </c>
      <c r="F22" s="7" t="inlineStr">
        <is>
          <t>P0</t>
        </is>
      </c>
      <c r="G22" s="7" t="inlineStr">
        <is>
          <t>V1</t>
        </is>
      </c>
      <c r="H22" s="7" t="n">
        <v>15</v>
      </c>
      <c r="I22" s="7" t="n">
        <v>19</v>
      </c>
      <c r="J22" s="8" t="n">
        <v>22800</v>
      </c>
      <c r="K22" s="7" t="inlineStr">
        <is>
          <t>是</t>
        </is>
      </c>
    </row>
    <row r="23">
      <c r="A23" s="7" t="inlineStr">
        <is>
          <t>M02-022</t>
        </is>
      </c>
      <c r="B23" s="7" t="inlineStr">
        <is>
          <t>通行与门禁管理</t>
        </is>
      </c>
      <c r="C23" s="7" t="inlineStr">
        <is>
          <t>业务联动</t>
        </is>
      </c>
      <c r="D23" s="7" t="inlineStr">
        <is>
          <t>与考勤联动的通行记录</t>
        </is>
      </c>
      <c r="E23" s="7" t="inlineStr">
        <is>
          <t>教职工、第三方人员进出记录自动生成考勤，避免重复打卡</t>
        </is>
      </c>
      <c r="F23" s="7" t="inlineStr">
        <is>
          <t>P0</t>
        </is>
      </c>
      <c r="G23" s="7" t="inlineStr">
        <is>
          <t>MVP</t>
        </is>
      </c>
      <c r="H23" s="7" t="n">
        <v>13</v>
      </c>
      <c r="I23" s="7" t="n">
        <v>18</v>
      </c>
      <c r="J23" s="8" t="n">
        <v>21600</v>
      </c>
      <c r="K23" s="7" t="inlineStr">
        <is>
          <t>部分</t>
        </is>
      </c>
    </row>
    <row r="24">
      <c r="A24" s="7" t="inlineStr">
        <is>
          <t>M02-023</t>
        </is>
      </c>
      <c r="B24" s="7" t="inlineStr">
        <is>
          <t>通行与门禁管理</t>
        </is>
      </c>
      <c r="C24" s="7" t="inlineStr">
        <is>
          <t>业务联动</t>
        </is>
      </c>
      <c r="D24" s="7" t="inlineStr">
        <is>
          <t>与学生请假联动的离校核验</t>
        </is>
      </c>
      <c r="E24" s="7" t="inlineStr">
        <is>
          <t>请假审批通过自动下发放行，无假条离校触发拦截与告警通知</t>
        </is>
      </c>
      <c r="F24" s="7" t="inlineStr">
        <is>
          <t>P0</t>
        </is>
      </c>
      <c r="G24" s="7" t="inlineStr">
        <is>
          <t>MVP</t>
        </is>
      </c>
      <c r="H24" s="7" t="n">
        <v>13</v>
      </c>
      <c r="I24" s="7" t="n">
        <v>18</v>
      </c>
      <c r="J24" s="8" t="n">
        <v>21600</v>
      </c>
      <c r="K24" s="7" t="inlineStr">
        <is>
          <t>部分</t>
        </is>
      </c>
    </row>
    <row r="25">
      <c r="A25" s="7" t="inlineStr">
        <is>
          <t>M02-024</t>
        </is>
      </c>
      <c r="B25" s="7" t="inlineStr">
        <is>
          <t>通行与门禁管理</t>
        </is>
      </c>
      <c r="C25" s="7" t="inlineStr">
        <is>
          <t>访客管理</t>
        </is>
      </c>
      <c r="D25" s="7" t="inlineStr">
        <is>
          <t>访客在线预约与邀约</t>
        </is>
      </c>
      <c r="E25" s="7" t="inlineStr">
        <is>
          <t>被访人发起邀约或被访人审批访客自助预约，线上登记秒批</t>
        </is>
      </c>
      <c r="F25" s="7" t="inlineStr">
        <is>
          <t>P0</t>
        </is>
      </c>
      <c r="G25" s="7" t="inlineStr">
        <is>
          <t>MVP</t>
        </is>
      </c>
      <c r="H25" s="7" t="n">
        <v>8</v>
      </c>
      <c r="I25" s="7" t="n">
        <v>11</v>
      </c>
      <c r="J25" s="8" t="n">
        <v>13200</v>
      </c>
      <c r="K25" s="7" t="inlineStr">
        <is>
          <t>否</t>
        </is>
      </c>
    </row>
    <row r="26">
      <c r="A26" s="7" t="inlineStr">
        <is>
          <t>M02-025</t>
        </is>
      </c>
      <c r="B26" s="7" t="inlineStr">
        <is>
          <t>通行与门禁管理</t>
        </is>
      </c>
      <c r="C26" s="7" t="inlineStr">
        <is>
          <t>访客管理</t>
        </is>
      </c>
      <c r="D26" s="7" t="inlineStr">
        <is>
          <t>访客到访登记与实名核验</t>
        </is>
      </c>
      <c r="E26" s="7" t="inlineStr">
        <is>
          <t>身份证/人脸核验、事由登记、随身物品与车辆登记、发放访客凭证</t>
        </is>
      </c>
      <c r="F26" s="7" t="inlineStr">
        <is>
          <t>P0</t>
        </is>
      </c>
      <c r="G26" s="7" t="inlineStr">
        <is>
          <t>MVP</t>
        </is>
      </c>
      <c r="H26" s="7" t="n">
        <v>15</v>
      </c>
      <c r="I26" s="7" t="n">
        <v>21</v>
      </c>
      <c r="J26" s="8" t="n">
        <v>25200</v>
      </c>
      <c r="K26" s="7" t="inlineStr">
        <is>
          <t>是</t>
        </is>
      </c>
    </row>
    <row r="27">
      <c r="A27" s="7" t="inlineStr">
        <is>
          <t>M02-026</t>
        </is>
      </c>
      <c r="B27" s="7" t="inlineStr">
        <is>
          <t>通行与门禁管理</t>
        </is>
      </c>
      <c r="C27" s="7" t="inlineStr">
        <is>
          <t>访客管理</t>
        </is>
      </c>
      <c r="D27" s="7" t="inlineStr">
        <is>
          <t>访客临时权限下发与回收</t>
        </is>
      </c>
      <c r="E27" s="7" t="inlineStr">
        <is>
          <t>按到访时段与允许区域下发临时权限，超时自动失效并提醒</t>
        </is>
      </c>
      <c r="F27" s="7" t="inlineStr">
        <is>
          <t>P0</t>
        </is>
      </c>
      <c r="G27" s="7" t="inlineStr">
        <is>
          <t>V1</t>
        </is>
      </c>
      <c r="H27" s="7" t="n">
        <v>8</v>
      </c>
      <c r="I27" s="7" t="n">
        <v>10</v>
      </c>
      <c r="J27" s="8" t="n">
        <v>12000</v>
      </c>
      <c r="K27" s="7" t="inlineStr">
        <is>
          <t>否</t>
        </is>
      </c>
    </row>
    <row r="28">
      <c r="A28" s="7" t="inlineStr">
        <is>
          <t>M02-027</t>
        </is>
      </c>
      <c r="B28" s="7" t="inlineStr">
        <is>
          <t>通行与门禁管理</t>
        </is>
      </c>
      <c r="C28" s="7" t="inlineStr">
        <is>
          <t>访客管理</t>
        </is>
      </c>
      <c r="D28" s="7" t="inlineStr">
        <is>
          <t>访客全流程闭环</t>
        </is>
      </c>
      <c r="E28" s="7" t="inlineStr">
        <is>
          <t>邀约—审批—登记—通行—离校签离—记录归档全链路留痕</t>
        </is>
      </c>
      <c r="F28" s="7" t="inlineStr">
        <is>
          <t>P1</t>
        </is>
      </c>
      <c r="G28" s="7" t="inlineStr">
        <is>
          <t>V1</t>
        </is>
      </c>
      <c r="H28" s="7" t="n">
        <v>8</v>
      </c>
      <c r="I28" s="7" t="n">
        <v>10</v>
      </c>
      <c r="J28" s="8" t="n">
        <v>12000</v>
      </c>
      <c r="K28" s="7" t="inlineStr">
        <is>
          <t>否</t>
        </is>
      </c>
    </row>
    <row r="29">
      <c r="A29" s="7" t="inlineStr">
        <is>
          <t>M02-028</t>
        </is>
      </c>
      <c r="B29" s="7" t="inlineStr">
        <is>
          <t>通行与门禁管理</t>
        </is>
      </c>
      <c r="C29" s="7" t="inlineStr">
        <is>
          <t>人员管控</t>
        </is>
      </c>
      <c r="D29" s="7" t="inlineStr">
        <is>
          <t>第三方人员通行管控</t>
        </is>
      </c>
      <c r="E29" s="7" t="inlineStr">
        <is>
          <t>按服务单位、施工区域与作业时段限定通行范围，支持包工头批量申请</t>
        </is>
      </c>
      <c r="F29" s="7" t="inlineStr">
        <is>
          <t>P1</t>
        </is>
      </c>
      <c r="G29" s="7" t="inlineStr">
        <is>
          <t>V1</t>
        </is>
      </c>
      <c r="H29" s="7" t="n">
        <v>8</v>
      </c>
      <c r="I29" s="7" t="n">
        <v>10</v>
      </c>
      <c r="J29" s="8" t="n">
        <v>12000</v>
      </c>
      <c r="K29" s="7" t="inlineStr">
        <is>
          <t>否</t>
        </is>
      </c>
    </row>
    <row r="30">
      <c r="A30" s="7" t="inlineStr">
        <is>
          <t>M02-029</t>
        </is>
      </c>
      <c r="B30" s="7" t="inlineStr">
        <is>
          <t>通行与门禁管理</t>
        </is>
      </c>
      <c r="C30" s="7" t="inlineStr">
        <is>
          <t>安全管控</t>
        </is>
      </c>
      <c r="D30" s="7" t="inlineStr">
        <is>
          <t>异常通行拦截与事件化</t>
        </is>
      </c>
      <c r="E30" s="7" t="inlineStr">
        <is>
          <t>尾随、强闯、冒用他人凭证、非授权区域进入等异常识别并生成事件</t>
        </is>
      </c>
      <c r="F30" s="7" t="inlineStr">
        <is>
          <t>P1</t>
        </is>
      </c>
      <c r="G30" s="7" t="inlineStr">
        <is>
          <t>V1</t>
        </is>
      </c>
      <c r="H30" s="7" t="n">
        <v>8</v>
      </c>
      <c r="I30" s="7" t="n">
        <v>10</v>
      </c>
      <c r="J30" s="8" t="n">
        <v>12000</v>
      </c>
      <c r="K30" s="7" t="inlineStr">
        <is>
          <t>否</t>
        </is>
      </c>
    </row>
    <row r="31">
      <c r="A31" s="7" t="inlineStr">
        <is>
          <t>M02-030</t>
        </is>
      </c>
      <c r="B31" s="7" t="inlineStr">
        <is>
          <t>通行与门禁管理</t>
        </is>
      </c>
      <c r="C31" s="7" t="inlineStr">
        <is>
          <t>统计分析</t>
        </is>
      </c>
      <c r="D31" s="7" t="inlineStr">
        <is>
          <t>通行数据统计分析</t>
        </is>
      </c>
      <c r="E31" s="7" t="inlineStr">
        <is>
          <t>按区域、时段、人群、凭证类型统计通行量与异常率，支撑优化策略</t>
        </is>
      </c>
      <c r="F31" s="7" t="inlineStr">
        <is>
          <t>P1</t>
        </is>
      </c>
      <c r="G31" s="7" t="inlineStr">
        <is>
          <t>V1</t>
        </is>
      </c>
      <c r="H31" s="7" t="n">
        <v>8</v>
      </c>
      <c r="I31" s="7" t="n">
        <v>10</v>
      </c>
      <c r="J31" s="8" t="n">
        <v>12000</v>
      </c>
      <c r="K31" s="7" t="inlineStr">
        <is>
          <t>否</t>
        </is>
      </c>
    </row>
    <row r="32">
      <c r="A32" s="7" t="inlineStr">
        <is>
          <t>M02-031</t>
        </is>
      </c>
      <c r="B32" s="7" t="inlineStr">
        <is>
          <t>通行与门禁管理</t>
        </is>
      </c>
      <c r="C32" s="7" t="inlineStr">
        <is>
          <t>设备管理</t>
        </is>
      </c>
      <c r="D32" s="7" t="inlineStr">
        <is>
          <t>接送家长与临时人群通行策略</t>
        </is>
      </c>
      <c r="E32" s="7" t="inlineStr">
        <is>
          <t>家长会、开放日、招生活动等大流量场景的临时放行与限流策略</t>
        </is>
      </c>
      <c r="F32" s="7" t="inlineStr">
        <is>
          <t>P2</t>
        </is>
      </c>
      <c r="G32" s="7" t="inlineStr">
        <is>
          <t>V2</t>
        </is>
      </c>
      <c r="H32" s="7" t="n">
        <v>8</v>
      </c>
      <c r="I32" s="7" t="n">
        <v>10</v>
      </c>
      <c r="J32" s="8" t="n">
        <v>12000</v>
      </c>
      <c r="K32" s="7" t="inlineStr">
        <is>
          <t>否</t>
        </is>
      </c>
    </row>
    <row r="33">
      <c r="A33" s="7" t="inlineStr">
        <is>
          <t>M03-032</t>
        </is>
      </c>
      <c r="B33" s="7" t="inlineStr">
        <is>
          <t>车辆管理</t>
        </is>
      </c>
      <c r="C33" s="7" t="inlineStr">
        <is>
          <t>车辆档案</t>
        </is>
      </c>
      <c r="D33" s="7" t="inlineStr">
        <is>
          <t>校内车辆档案管理</t>
        </is>
      </c>
      <c r="E33" s="7" t="inlineStr">
        <is>
          <t>教职工车辆、公务车、班车、合作单位车辆的档案与证件有效期管理</t>
        </is>
      </c>
      <c r="F33" s="7" t="inlineStr">
        <is>
          <t>P1</t>
        </is>
      </c>
      <c r="G33" s="7" t="inlineStr">
        <is>
          <t>V1</t>
        </is>
      </c>
      <c r="H33" s="7" t="n">
        <v>5</v>
      </c>
      <c r="I33" s="7" t="n">
        <v>6</v>
      </c>
      <c r="J33" s="8" t="n">
        <v>7200</v>
      </c>
      <c r="K33" s="7" t="inlineStr">
        <is>
          <t>否</t>
        </is>
      </c>
    </row>
    <row r="34">
      <c r="A34" s="7" t="inlineStr">
        <is>
          <t>M03-033</t>
        </is>
      </c>
      <c r="B34" s="7" t="inlineStr">
        <is>
          <t>车辆管理</t>
        </is>
      </c>
      <c r="C34" s="7" t="inlineStr">
        <is>
          <t>通行控制</t>
        </is>
      </c>
      <c r="D34" s="7" t="inlineStr">
        <is>
          <t>车牌识别与不停车通行</t>
        </is>
      </c>
      <c r="E34" s="7" t="inlineStr">
        <is>
          <t>对接车牌识别一体机与道闸，白名单自动抬杆，识别失败转人工核验</t>
        </is>
      </c>
      <c r="F34" s="7" t="inlineStr">
        <is>
          <t>P1</t>
        </is>
      </c>
      <c r="G34" s="7" t="inlineStr">
        <is>
          <t>V1</t>
        </is>
      </c>
      <c r="H34" s="7" t="n">
        <v>15</v>
      </c>
      <c r="I34" s="7" t="n">
        <v>19</v>
      </c>
      <c r="J34" s="8" t="n">
        <v>22800</v>
      </c>
      <c r="K34" s="7" t="inlineStr">
        <is>
          <t>是</t>
        </is>
      </c>
    </row>
    <row r="35">
      <c r="A35" s="7" t="inlineStr">
        <is>
          <t>M03-034</t>
        </is>
      </c>
      <c r="B35" s="7" t="inlineStr">
        <is>
          <t>车辆管理</t>
        </is>
      </c>
      <c r="C35" s="7" t="inlineStr">
        <is>
          <t>策略引擎</t>
        </is>
      </c>
      <c r="D35" s="7" t="inlineStr">
        <is>
          <t>车辆分类分级授权</t>
        </is>
      </c>
      <c r="E35" s="7" t="inlineStr">
        <is>
          <t>按车辆类别配置可通行门岗、允许时段与停放区域</t>
        </is>
      </c>
      <c r="F35" s="7" t="inlineStr">
        <is>
          <t>P1</t>
        </is>
      </c>
      <c r="G35" s="7" t="inlineStr">
        <is>
          <t>V1</t>
        </is>
      </c>
      <c r="H35" s="7" t="n">
        <v>8</v>
      </c>
      <c r="I35" s="7" t="n">
        <v>10</v>
      </c>
      <c r="J35" s="8" t="n">
        <v>12000</v>
      </c>
      <c r="K35" s="7" t="inlineStr">
        <is>
          <t>否</t>
        </is>
      </c>
    </row>
    <row r="36">
      <c r="A36" s="7" t="inlineStr">
        <is>
          <t>M03-035</t>
        </is>
      </c>
      <c r="B36" s="7" t="inlineStr">
        <is>
          <t>车辆管理</t>
        </is>
      </c>
      <c r="C36" s="7" t="inlineStr">
        <is>
          <t>外来车辆</t>
        </is>
      </c>
      <c r="D36" s="7" t="inlineStr">
        <is>
          <t>外来车辆预约与临时通行</t>
        </is>
      </c>
      <c r="E36" s="7" t="inlineStr">
        <is>
          <t>访客、送货、维修、施工车辆的事前预约、限时授权与超时告警</t>
        </is>
      </c>
      <c r="F36" s="7" t="inlineStr">
        <is>
          <t>P1</t>
        </is>
      </c>
      <c r="G36" s="7" t="inlineStr">
        <is>
          <t>V1</t>
        </is>
      </c>
      <c r="H36" s="7" t="n">
        <v>8</v>
      </c>
      <c r="I36" s="7" t="n">
        <v>10</v>
      </c>
      <c r="J36" s="8" t="n">
        <v>12000</v>
      </c>
      <c r="K36" s="7" t="inlineStr">
        <is>
          <t>否</t>
        </is>
      </c>
    </row>
    <row r="37">
      <c r="A37" s="7" t="inlineStr">
        <is>
          <t>M03-036</t>
        </is>
      </c>
      <c r="B37" s="7" t="inlineStr">
        <is>
          <t>车辆管理</t>
        </is>
      </c>
      <c r="C37" s="7" t="inlineStr">
        <is>
          <t>停放管理</t>
        </is>
      </c>
      <c r="D37" s="7" t="inlineStr">
        <is>
          <t>停车场位与车位分区管理</t>
        </is>
      </c>
      <c r="E37" s="7" t="inlineStr">
        <is>
          <t>车位资源台账、教职工/访客/货车分区停放与占用统计</t>
        </is>
      </c>
      <c r="F37" s="7" t="inlineStr">
        <is>
          <t>P2</t>
        </is>
      </c>
      <c r="G37" s="7" t="inlineStr">
        <is>
          <t>V2</t>
        </is>
      </c>
      <c r="H37" s="7" t="n">
        <v>8</v>
      </c>
      <c r="I37" s="7" t="n">
        <v>10</v>
      </c>
      <c r="J37" s="8" t="n">
        <v>12000</v>
      </c>
      <c r="K37" s="7" t="inlineStr">
        <is>
          <t>否</t>
        </is>
      </c>
    </row>
    <row r="38">
      <c r="A38" s="7" t="inlineStr">
        <is>
          <t>M03-037</t>
        </is>
      </c>
      <c r="B38" s="7" t="inlineStr">
        <is>
          <t>车辆管理</t>
        </is>
      </c>
      <c r="C38" s="7" t="inlineStr">
        <is>
          <t>停放管理</t>
        </is>
      </c>
      <c r="D38" s="7" t="inlineStr">
        <is>
          <t>车位引导与寻车</t>
        </is>
      </c>
      <c r="E38" s="7" t="inlineStr">
        <is>
          <t>出入口余位屏引导、反向寻车查询（可选配）</t>
        </is>
      </c>
      <c r="F38" s="7" t="inlineStr">
        <is>
          <t>P2</t>
        </is>
      </c>
      <c r="G38" s="7" t="inlineStr">
        <is>
          <t>V3</t>
        </is>
      </c>
      <c r="H38" s="7" t="n">
        <v>5</v>
      </c>
      <c r="I38" s="7" t="n">
        <v>6</v>
      </c>
      <c r="J38" s="8" t="n">
        <v>7200</v>
      </c>
      <c r="K38" s="7" t="inlineStr">
        <is>
          <t>否</t>
        </is>
      </c>
    </row>
    <row r="39">
      <c r="A39" s="7" t="inlineStr">
        <is>
          <t>M03-038</t>
        </is>
      </c>
      <c r="B39" s="7" t="inlineStr">
        <is>
          <t>车辆管理</t>
        </is>
      </c>
      <c r="C39" s="7" t="inlineStr">
        <is>
          <t>违规管理</t>
        </is>
      </c>
      <c r="D39" s="7" t="inlineStr">
        <is>
          <t>超速与违停抓拍告警</t>
        </is>
      </c>
      <c r="E39" s="7" t="inlineStr">
        <is>
          <t>主干道超速、消防通道占用、禁停区违停的自动抓拍与提醒</t>
        </is>
      </c>
      <c r="F39" s="7" t="inlineStr">
        <is>
          <t>P1</t>
        </is>
      </c>
      <c r="G39" s="7" t="inlineStr">
        <is>
          <t>V2</t>
        </is>
      </c>
      <c r="H39" s="7" t="n">
        <v>8</v>
      </c>
      <c r="I39" s="7" t="n">
        <v>10</v>
      </c>
      <c r="J39" s="8" t="n">
        <v>12000</v>
      </c>
      <c r="K39" s="7" t="inlineStr">
        <is>
          <t>否</t>
        </is>
      </c>
    </row>
    <row r="40">
      <c r="A40" s="7" t="inlineStr">
        <is>
          <t>M03-039</t>
        </is>
      </c>
      <c r="B40" s="7" t="inlineStr">
        <is>
          <t>车辆管理</t>
        </is>
      </c>
      <c r="C40" s="7" t="inlineStr">
        <is>
          <t>违规管理</t>
        </is>
      </c>
      <c r="D40" s="7" t="inlineStr">
        <is>
          <t>违规记录与处置流程</t>
        </is>
      </c>
      <c r="E40" s="7" t="inlineStr">
        <is>
          <t>违规记录归档、通知车主、约谈教育与处置闭环</t>
        </is>
      </c>
      <c r="F40" s="7" t="inlineStr">
        <is>
          <t>P2</t>
        </is>
      </c>
      <c r="G40" s="7" t="inlineStr">
        <is>
          <t>V2</t>
        </is>
      </c>
      <c r="H40" s="7" t="n">
        <v>8</v>
      </c>
      <c r="I40" s="7" t="n">
        <v>10</v>
      </c>
      <c r="J40" s="8" t="n">
        <v>12000</v>
      </c>
      <c r="K40" s="7" t="inlineStr">
        <is>
          <t>否</t>
        </is>
      </c>
    </row>
    <row r="41">
      <c r="A41" s="7" t="inlineStr">
        <is>
          <t>M03-040</t>
        </is>
      </c>
      <c r="B41" s="7" t="inlineStr">
        <is>
          <t>车辆管理</t>
        </is>
      </c>
      <c r="C41" s="7" t="inlineStr">
        <is>
          <t>统计分析</t>
        </is>
      </c>
      <c r="D41" s="7" t="inlineStr">
        <is>
          <t>车辆通行与统计报表</t>
        </is>
      </c>
      <c r="E41" s="7" t="inlineStr">
        <is>
          <t>车辆通行量、峰值时段、外来车辆占比、滞留车辆分析</t>
        </is>
      </c>
      <c r="F41" s="7" t="inlineStr">
        <is>
          <t>P2</t>
        </is>
      </c>
      <c r="G41" s="7" t="inlineStr">
        <is>
          <t>V2</t>
        </is>
      </c>
      <c r="H41" s="7" t="n">
        <v>13</v>
      </c>
      <c r="I41" s="7" t="n">
        <v>16</v>
      </c>
      <c r="J41" s="8" t="n">
        <v>19200</v>
      </c>
      <c r="K41" s="7" t="inlineStr">
        <is>
          <t>部分</t>
        </is>
      </c>
    </row>
    <row r="42">
      <c r="A42" s="7" t="inlineStr">
        <is>
          <t>M03-041</t>
        </is>
      </c>
      <c r="B42" s="7" t="inlineStr">
        <is>
          <t>车辆管理</t>
        </is>
      </c>
      <c r="C42" s="7" t="inlineStr">
        <is>
          <t>系统对接</t>
        </is>
      </c>
      <c r="D42" s="7" t="inlineStr">
        <is>
          <t>车辆系统与第三方对接</t>
        </is>
      </c>
      <c r="E42" s="7" t="inlineStr">
        <is>
          <t>对接门禁硬件厂商平台、交警/公安车辆核验、第三方停车系统</t>
        </is>
      </c>
      <c r="F42" s="7" t="inlineStr">
        <is>
          <t>P2</t>
        </is>
      </c>
      <c r="G42" s="7" t="inlineStr">
        <is>
          <t>V2</t>
        </is>
      </c>
      <c r="H42" s="7" t="n">
        <v>15</v>
      </c>
      <c r="I42" s="7" t="n">
        <v>19</v>
      </c>
      <c r="J42" s="8" t="n">
        <v>22800</v>
      </c>
      <c r="K42" s="7" t="inlineStr">
        <is>
          <t>是</t>
        </is>
      </c>
    </row>
    <row r="43">
      <c r="A43" s="7" t="inlineStr">
        <is>
          <t>M03-042</t>
        </is>
      </c>
      <c r="B43" s="7" t="inlineStr">
        <is>
          <t>车辆管理</t>
        </is>
      </c>
      <c r="C43" s="7" t="inlineStr">
        <is>
          <t>安全管理</t>
        </is>
      </c>
      <c r="D43" s="7" t="inlineStr">
        <is>
          <t>校车与班车安全管控</t>
        </is>
      </c>
      <c r="E43" s="7" t="inlineStr">
        <is>
          <t>班车路线与到离站记录、超载与超速提醒、驾驶员台账</t>
        </is>
      </c>
      <c r="F43" s="7" t="inlineStr">
        <is>
          <t>P2</t>
        </is>
      </c>
      <c r="G43" s="7" t="inlineStr">
        <is>
          <t>V3</t>
        </is>
      </c>
      <c r="H43" s="7" t="n">
        <v>5</v>
      </c>
      <c r="I43" s="7" t="n">
        <v>6</v>
      </c>
      <c r="J43" s="8" t="n">
        <v>7200</v>
      </c>
      <c r="K43" s="7" t="inlineStr">
        <is>
          <t>否</t>
        </is>
      </c>
    </row>
    <row r="44">
      <c r="A44" s="7" t="inlineStr">
        <is>
          <t>M04-043</t>
        </is>
      </c>
      <c r="B44" s="7" t="inlineStr">
        <is>
          <t>宿舍归寝管理</t>
        </is>
      </c>
      <c r="C44" s="7" t="inlineStr">
        <is>
          <t>资源管理</t>
        </is>
      </c>
      <c r="D44" s="7" t="inlineStr">
        <is>
          <t>宿舍楼栋房间与床位建档</t>
        </is>
      </c>
      <c r="E44" s="7" t="inlineStr">
        <is>
          <t>楼栋—楼层—房间—床位的住宿资源台账与容量管理</t>
        </is>
      </c>
      <c r="F44" s="7" t="inlineStr">
        <is>
          <t>P0</t>
        </is>
      </c>
      <c r="G44" s="7" t="inlineStr">
        <is>
          <t>V1</t>
        </is>
      </c>
      <c r="H44" s="7" t="n">
        <v>5</v>
      </c>
      <c r="I44" s="7" t="n">
        <v>6</v>
      </c>
      <c r="J44" s="8" t="n">
        <v>7200</v>
      </c>
      <c r="K44" s="7" t="inlineStr">
        <is>
          <t>否</t>
        </is>
      </c>
    </row>
    <row r="45">
      <c r="A45" s="7" t="inlineStr">
        <is>
          <t>M04-044</t>
        </is>
      </c>
      <c r="B45" s="7" t="inlineStr">
        <is>
          <t>宿舍归寝管理</t>
        </is>
      </c>
      <c r="C45" s="7" t="inlineStr">
        <is>
          <t>资源管理</t>
        </is>
      </c>
      <c r="D45" s="7" t="inlineStr">
        <is>
          <t>床位分配与调宿管理</t>
        </is>
      </c>
      <c r="E45" s="7" t="inlineStr">
        <is>
          <t>新生入住分配、调宿申请审批、空床位统计与性别分区校验</t>
        </is>
      </c>
      <c r="F45" s="7" t="inlineStr">
        <is>
          <t>P0</t>
        </is>
      </c>
      <c r="G45" s="7" t="inlineStr">
        <is>
          <t>V1</t>
        </is>
      </c>
      <c r="H45" s="7" t="n">
        <v>8</v>
      </c>
      <c r="I45" s="7" t="n">
        <v>10</v>
      </c>
      <c r="J45" s="8" t="n">
        <v>12000</v>
      </c>
      <c r="K45" s="7" t="inlineStr">
        <is>
          <t>否</t>
        </is>
      </c>
    </row>
    <row r="46">
      <c r="A46" s="7" t="inlineStr">
        <is>
          <t>M04-045</t>
        </is>
      </c>
      <c r="B46" s="7" t="inlineStr">
        <is>
          <t>宿舍归寝管理</t>
        </is>
      </c>
      <c r="C46" s="7" t="inlineStr">
        <is>
          <t>归寝管理</t>
        </is>
      </c>
      <c r="D46" s="7" t="inlineStr">
        <is>
          <t>学生归寝自动统计</t>
        </is>
      </c>
      <c r="E46" s="7" t="inlineStr">
        <is>
          <t>通过宿舍门禁/闸机数据自动核对归寝情况，生成应归/实归/未归清单</t>
        </is>
      </c>
      <c r="F46" s="7" t="inlineStr">
        <is>
          <t>P0</t>
        </is>
      </c>
      <c r="G46" s="7" t="inlineStr">
        <is>
          <t>V1</t>
        </is>
      </c>
      <c r="H46" s="7" t="n">
        <v>15</v>
      </c>
      <c r="I46" s="7" t="n">
        <v>19</v>
      </c>
      <c r="J46" s="8" t="n">
        <v>22800</v>
      </c>
      <c r="K46" s="7" t="inlineStr">
        <is>
          <t>是</t>
        </is>
      </c>
    </row>
    <row r="47">
      <c r="A47" s="7" t="inlineStr">
        <is>
          <t>M04-046</t>
        </is>
      </c>
      <c r="B47" s="7" t="inlineStr">
        <is>
          <t>宿舍归寝管理</t>
        </is>
      </c>
      <c r="C47" s="7" t="inlineStr">
        <is>
          <t>归寝管理</t>
        </is>
      </c>
      <c r="D47" s="7" t="inlineStr">
        <is>
          <t>晚归未归预警</t>
        </is>
      </c>
      <c r="E47" s="7" t="inlineStr">
        <is>
          <t>对未归、晚归学生按阈值自动通知班主任、宿管与家长</t>
        </is>
      </c>
      <c r="F47" s="7" t="inlineStr">
        <is>
          <t>P0</t>
        </is>
      </c>
      <c r="G47" s="7" t="inlineStr">
        <is>
          <t>V1</t>
        </is>
      </c>
      <c r="H47" s="7" t="n">
        <v>8</v>
      </c>
      <c r="I47" s="7" t="n">
        <v>10</v>
      </c>
      <c r="J47" s="8" t="n">
        <v>12000</v>
      </c>
      <c r="K47" s="7" t="inlineStr">
        <is>
          <t>否</t>
        </is>
      </c>
    </row>
    <row r="48">
      <c r="A48" s="7" t="inlineStr">
        <is>
          <t>M04-047</t>
        </is>
      </c>
      <c r="B48" s="7" t="inlineStr">
        <is>
          <t>宿舍归寝管理</t>
        </is>
      </c>
      <c r="C48" s="7" t="inlineStr">
        <is>
          <t>归寝管理</t>
        </is>
      </c>
      <c r="D48" s="7" t="inlineStr">
        <is>
          <t>宿舍考勤与请假联动</t>
        </is>
      </c>
      <c r="E48" s="7" t="inlineStr">
        <is>
          <t>请假在校外住宿时自动免于未归判定，避免误报</t>
        </is>
      </c>
      <c r="F48" s="7" t="inlineStr">
        <is>
          <t>P0</t>
        </is>
      </c>
      <c r="G48" s="7" t="inlineStr">
        <is>
          <t>V1</t>
        </is>
      </c>
      <c r="H48" s="7" t="n">
        <v>13</v>
      </c>
      <c r="I48" s="7" t="n">
        <v>16</v>
      </c>
      <c r="J48" s="8" t="n">
        <v>19200</v>
      </c>
      <c r="K48" s="7" t="inlineStr">
        <is>
          <t>部分</t>
        </is>
      </c>
    </row>
    <row r="49">
      <c r="A49" s="7" t="inlineStr">
        <is>
          <t>M04-048</t>
        </is>
      </c>
      <c r="B49" s="7" t="inlineStr">
        <is>
          <t>宿舍归寝管理</t>
        </is>
      </c>
      <c r="C49" s="7" t="inlineStr">
        <is>
          <t>人员管控</t>
        </is>
      </c>
      <c r="D49" s="7" t="inlineStr">
        <is>
          <t>宿舍外来人员登记</t>
        </is>
      </c>
      <c r="E49" s="7" t="inlineStr">
        <is>
          <t>家长、维修、访客进入宿舍的登记、陪同要求与离场确认</t>
        </is>
      </c>
      <c r="F49" s="7" t="inlineStr">
        <is>
          <t>P1</t>
        </is>
      </c>
      <c r="G49" s="7" t="inlineStr">
        <is>
          <t>V1</t>
        </is>
      </c>
      <c r="H49" s="7" t="n">
        <v>8</v>
      </c>
      <c r="I49" s="7" t="n">
        <v>10</v>
      </c>
      <c r="J49" s="8" t="n">
        <v>12000</v>
      </c>
      <c r="K49" s="7" t="inlineStr">
        <is>
          <t>否</t>
        </is>
      </c>
    </row>
    <row r="50">
      <c r="A50" s="7" t="inlineStr">
        <is>
          <t>M04-049</t>
        </is>
      </c>
      <c r="B50" s="7" t="inlineStr">
        <is>
          <t>宿舍归寝管理</t>
        </is>
      </c>
      <c r="C50" s="7" t="inlineStr">
        <is>
          <t>人员管控</t>
        </is>
      </c>
      <c r="D50" s="7" t="inlineStr">
        <is>
          <t>宿舍访客与异性禁入管控</t>
        </is>
      </c>
      <c r="E50" s="7" t="inlineStr">
        <is>
          <t>异性禁入规则配置与违规进入告警</t>
        </is>
      </c>
      <c r="F50" s="7" t="inlineStr">
        <is>
          <t>P2</t>
        </is>
      </c>
      <c r="G50" s="7" t="inlineStr">
        <is>
          <t>V2</t>
        </is>
      </c>
      <c r="H50" s="7" t="n">
        <v>8</v>
      </c>
      <c r="I50" s="7" t="n">
        <v>10</v>
      </c>
      <c r="J50" s="8" t="n">
        <v>12000</v>
      </c>
      <c r="K50" s="7" t="inlineStr">
        <is>
          <t>否</t>
        </is>
      </c>
    </row>
    <row r="51">
      <c r="A51" s="7" t="inlineStr">
        <is>
          <t>M04-050</t>
        </is>
      </c>
      <c r="B51" s="7" t="inlineStr">
        <is>
          <t>宿舍归寝管理</t>
        </is>
      </c>
      <c r="C51" s="7" t="inlineStr">
        <is>
          <t>安全管理</t>
        </is>
      </c>
      <c r="D51" s="7" t="inlineStr">
        <is>
          <t>夜不归宿与长期异常分析</t>
        </is>
      </c>
      <c r="E51" s="7" t="inlineStr">
        <is>
          <t>对多次晚归、长期异常的学生形成关注清单供德育部门跟进</t>
        </is>
      </c>
      <c r="F51" s="7" t="inlineStr">
        <is>
          <t>P1</t>
        </is>
      </c>
      <c r="G51" s="7" t="inlineStr">
        <is>
          <t>V2</t>
        </is>
      </c>
      <c r="H51" s="7" t="n">
        <v>8</v>
      </c>
      <c r="I51" s="7" t="n">
        <v>10</v>
      </c>
      <c r="J51" s="8" t="n">
        <v>12000</v>
      </c>
      <c r="K51" s="7" t="inlineStr">
        <is>
          <t>否</t>
        </is>
      </c>
    </row>
    <row r="52">
      <c r="A52" s="7" t="inlineStr">
        <is>
          <t>M04-051</t>
        </is>
      </c>
      <c r="B52" s="7" t="inlineStr">
        <is>
          <t>宿舍归寝管理</t>
        </is>
      </c>
      <c r="C52" s="7" t="inlineStr">
        <is>
          <t>安全管理</t>
        </is>
      </c>
      <c r="D52" s="7" t="inlineStr">
        <is>
          <t>宿舍安全违规识别</t>
        </is>
      </c>
      <c r="E52" s="7" t="inlineStr">
        <is>
          <t>公共区域吸烟、聚集、攀爬、明火等 AI 识别与告警（仅公共区域）</t>
        </is>
      </c>
      <c r="F52" s="7" t="inlineStr">
        <is>
          <t>P1</t>
        </is>
      </c>
      <c r="G52" s="7" t="inlineStr">
        <is>
          <t>V2</t>
        </is>
      </c>
      <c r="H52" s="7" t="n">
        <v>15</v>
      </c>
      <c r="I52" s="7" t="n">
        <v>19</v>
      </c>
      <c r="J52" s="8" t="n">
        <v>22800</v>
      </c>
      <c r="K52" s="7" t="inlineStr">
        <is>
          <t>是</t>
        </is>
      </c>
    </row>
    <row r="53">
      <c r="A53" s="7" t="inlineStr">
        <is>
          <t>M05-052</t>
        </is>
      </c>
      <c r="B53" s="7" t="inlineStr">
        <is>
          <t>安防监控与应急</t>
        </is>
      </c>
      <c r="C53" s="7" t="inlineStr">
        <is>
          <t>视频管理</t>
        </is>
      </c>
      <c r="D53" s="7" t="inlineStr">
        <is>
          <t>视频资源统一接入</t>
        </is>
      </c>
      <c r="E53" s="7" t="inlineStr">
        <is>
          <t>通过 GB/T 28181、ONVIF、RTSP 接入各类摄像机与 NVR，统一编目与组织</t>
        </is>
      </c>
      <c r="F53" s="7" t="inlineStr">
        <is>
          <t>P0</t>
        </is>
      </c>
      <c r="G53" s="7" t="inlineStr">
        <is>
          <t>MVP</t>
        </is>
      </c>
      <c r="H53" s="7" t="n">
        <v>15</v>
      </c>
      <c r="I53" s="7" t="n">
        <v>21</v>
      </c>
      <c r="J53" s="8" t="n">
        <v>25200</v>
      </c>
      <c r="K53" s="7" t="inlineStr">
        <is>
          <t>是</t>
        </is>
      </c>
    </row>
    <row r="54">
      <c r="A54" s="7" t="inlineStr">
        <is>
          <t>M05-053</t>
        </is>
      </c>
      <c r="B54" s="7" t="inlineStr">
        <is>
          <t>安防监控与应急</t>
        </is>
      </c>
      <c r="C54" s="7" t="inlineStr">
        <is>
          <t>视频管理</t>
        </is>
      </c>
      <c r="D54" s="7" t="inlineStr">
        <is>
          <t>实时预览与多画面监控</t>
        </is>
      </c>
      <c r="E54" s="7" t="inlineStr">
        <is>
          <t>Web 端与移动端实时预览、多画面轮巡、电子地图点位联动</t>
        </is>
      </c>
      <c r="F54" s="7" t="inlineStr">
        <is>
          <t>P0</t>
        </is>
      </c>
      <c r="G54" s="7" t="inlineStr">
        <is>
          <t>MVP</t>
        </is>
      </c>
      <c r="H54" s="7" t="n">
        <v>13</v>
      </c>
      <c r="I54" s="7" t="n">
        <v>18</v>
      </c>
      <c r="J54" s="8" t="n">
        <v>21600</v>
      </c>
      <c r="K54" s="7" t="inlineStr">
        <is>
          <t>部分</t>
        </is>
      </c>
    </row>
    <row r="55">
      <c r="A55" s="7" t="inlineStr">
        <is>
          <t>M05-054</t>
        </is>
      </c>
      <c r="B55" s="7" t="inlineStr">
        <is>
          <t>安防监控与应急</t>
        </is>
      </c>
      <c r="C55" s="7" t="inlineStr">
        <is>
          <t>视频管理</t>
        </is>
      </c>
      <c r="D55" s="7" t="inlineStr">
        <is>
          <t>视频存储回放与证据留存</t>
        </is>
      </c>
      <c r="E55" s="7" t="inlineStr">
        <is>
          <t>录像检索回放、片段下载、事件截图与视频证据归档</t>
        </is>
      </c>
      <c r="F55" s="7" t="inlineStr">
        <is>
          <t>P0</t>
        </is>
      </c>
      <c r="G55" s="7" t="inlineStr">
        <is>
          <t>V1</t>
        </is>
      </c>
      <c r="H55" s="7" t="n">
        <v>15</v>
      </c>
      <c r="I55" s="7" t="n">
        <v>19</v>
      </c>
      <c r="J55" s="8" t="n">
        <v>22800</v>
      </c>
      <c r="K55" s="7" t="inlineStr">
        <is>
          <t>是</t>
        </is>
      </c>
    </row>
    <row r="56">
      <c r="A56" s="7" t="inlineStr">
        <is>
          <t>M05-055</t>
        </is>
      </c>
      <c r="B56" s="7" t="inlineStr">
        <is>
          <t>安防监控与应急</t>
        </is>
      </c>
      <c r="C56" s="7" t="inlineStr">
        <is>
          <t>AI 算法</t>
        </is>
      </c>
      <c r="D56" s="7" t="inlineStr">
        <is>
          <t>AI 算法仓与统一管理</t>
        </is>
      </c>
      <c r="E56" s="7" t="inlineStr">
        <is>
          <t>多厂商算法的注册、版本管理、通道绑定与配置下发</t>
        </is>
      </c>
      <c r="F56" s="7" t="inlineStr">
        <is>
          <t>P0</t>
        </is>
      </c>
      <c r="G56" s="7" t="inlineStr">
        <is>
          <t>MVP</t>
        </is>
      </c>
      <c r="H56" s="7" t="n">
        <v>15</v>
      </c>
      <c r="I56" s="7" t="n">
        <v>21</v>
      </c>
      <c r="J56" s="8" t="n">
        <v>25200</v>
      </c>
      <c r="K56" s="7" t="inlineStr">
        <is>
          <t>是</t>
        </is>
      </c>
    </row>
    <row r="57">
      <c r="A57" s="7" t="inlineStr">
        <is>
          <t>M05-056</t>
        </is>
      </c>
      <c r="B57" s="7" t="inlineStr">
        <is>
          <t>安防监控与应急</t>
        </is>
      </c>
      <c r="C57" s="7" t="inlineStr">
        <is>
          <t>AI 算法</t>
        </is>
      </c>
      <c r="D57" s="7" t="inlineStr">
        <is>
          <t>算法自训练与场景适配</t>
        </is>
      </c>
      <c r="E57" s="7" t="inlineStr">
        <is>
          <t>支持本校场景数据采集、标注、训练、评估与模型上线闭环</t>
        </is>
      </c>
      <c r="F57" s="7" t="inlineStr">
        <is>
          <t>P1</t>
        </is>
      </c>
      <c r="G57" s="7" t="inlineStr">
        <is>
          <t>V1</t>
        </is>
      </c>
      <c r="H57" s="7" t="n">
        <v>15</v>
      </c>
      <c r="I57" s="7" t="n">
        <v>19</v>
      </c>
      <c r="J57" s="8" t="n">
        <v>22800</v>
      </c>
      <c r="K57" s="7" t="inlineStr">
        <is>
          <t>是</t>
        </is>
      </c>
    </row>
    <row r="58">
      <c r="A58" s="7" t="inlineStr">
        <is>
          <t>M05-057</t>
        </is>
      </c>
      <c r="B58" s="7" t="inlineStr">
        <is>
          <t>安防监控与应急</t>
        </is>
      </c>
      <c r="C58" s="7" t="inlineStr">
        <is>
          <t>AI 算法</t>
        </is>
      </c>
      <c r="D58" s="7" t="inlineStr">
        <is>
          <t>周界入侵与翻越检测</t>
        </is>
      </c>
      <c r="E58" s="7" t="inlineStr">
        <is>
          <t>校园围墙、天台、危化品库等区域的入侵与翻越识别告警</t>
        </is>
      </c>
      <c r="F58" s="7" t="inlineStr">
        <is>
          <t>P0</t>
        </is>
      </c>
      <c r="G58" s="7" t="inlineStr">
        <is>
          <t>MVP</t>
        </is>
      </c>
      <c r="H58" s="7" t="n">
        <v>15</v>
      </c>
      <c r="I58" s="7" t="n">
        <v>21</v>
      </c>
      <c r="J58" s="8" t="n">
        <v>25200</v>
      </c>
      <c r="K58" s="7" t="inlineStr">
        <is>
          <t>是</t>
        </is>
      </c>
    </row>
    <row r="59">
      <c r="A59" s="7" t="inlineStr">
        <is>
          <t>M05-058</t>
        </is>
      </c>
      <c r="B59" s="7" t="inlineStr">
        <is>
          <t>安防监控与应急</t>
        </is>
      </c>
      <c r="C59" s="7" t="inlineStr">
        <is>
          <t>AI 算法</t>
        </is>
      </c>
      <c r="D59" s="7" t="inlineStr">
        <is>
          <t>烟火识别与消防隐患预警</t>
        </is>
      </c>
      <c r="E59" s="7" t="inlineStr">
        <is>
          <t>烟雾、明火识别并联动告警，支持宿舍、食堂、仓库等重点部位</t>
        </is>
      </c>
      <c r="F59" s="7" t="inlineStr">
        <is>
          <t>P0</t>
        </is>
      </c>
      <c r="G59" s="7" t="inlineStr">
        <is>
          <t>MVP</t>
        </is>
      </c>
      <c r="H59" s="7" t="n">
        <v>15</v>
      </c>
      <c r="I59" s="7" t="n">
        <v>21</v>
      </c>
      <c r="J59" s="8" t="n">
        <v>25200</v>
      </c>
      <c r="K59" s="7" t="inlineStr">
        <is>
          <t>是</t>
        </is>
      </c>
    </row>
    <row r="60">
      <c r="A60" s="7" t="inlineStr">
        <is>
          <t>M05-059</t>
        </is>
      </c>
      <c r="B60" s="7" t="inlineStr">
        <is>
          <t>安防监控与应急</t>
        </is>
      </c>
      <c r="C60" s="7" t="inlineStr">
        <is>
          <t>AI 算法</t>
        </is>
      </c>
      <c r="D60" s="7" t="inlineStr">
        <is>
          <t>人员聚集与踩踏风险识别</t>
        </is>
      </c>
      <c r="E60" s="7" t="inlineStr">
        <is>
          <t>食堂、门口、楼道等区域人员密度超阈值提醒与疏导建议</t>
        </is>
      </c>
      <c r="F60" s="7" t="inlineStr">
        <is>
          <t>P1</t>
        </is>
      </c>
      <c r="G60" s="7" t="inlineStr">
        <is>
          <t>V1</t>
        </is>
      </c>
      <c r="H60" s="7" t="n">
        <v>15</v>
      </c>
      <c r="I60" s="7" t="n">
        <v>19</v>
      </c>
      <c r="J60" s="8" t="n">
        <v>22800</v>
      </c>
      <c r="K60" s="7" t="inlineStr">
        <is>
          <t>是</t>
        </is>
      </c>
    </row>
    <row r="61">
      <c r="A61" s="7" t="inlineStr">
        <is>
          <t>M05-060</t>
        </is>
      </c>
      <c r="B61" s="7" t="inlineStr">
        <is>
          <t>安防监控与应急</t>
        </is>
      </c>
      <c r="C61" s="7" t="inlineStr">
        <is>
          <t>AI 算法</t>
        </is>
      </c>
      <c r="D61" s="7" t="inlineStr">
        <is>
          <t>打架斗殴与跌倒识别</t>
        </is>
      </c>
      <c r="E61" s="7" t="inlineStr">
        <is>
          <t>操场、楼道等区域异常行为识别并立即推送值班人员</t>
        </is>
      </c>
      <c r="F61" s="7" t="inlineStr">
        <is>
          <t>P1</t>
        </is>
      </c>
      <c r="G61" s="7" t="inlineStr">
        <is>
          <t>V2</t>
        </is>
      </c>
      <c r="H61" s="7" t="n">
        <v>15</v>
      </c>
      <c r="I61" s="7" t="n">
        <v>19</v>
      </c>
      <c r="J61" s="8" t="n">
        <v>22800</v>
      </c>
      <c r="K61" s="7" t="inlineStr">
        <is>
          <t>是</t>
        </is>
      </c>
    </row>
    <row r="62">
      <c r="A62" s="7" t="inlineStr">
        <is>
          <t>M05-061</t>
        </is>
      </c>
      <c r="B62" s="7" t="inlineStr">
        <is>
          <t>安防监控与应急</t>
        </is>
      </c>
      <c r="C62" s="7" t="inlineStr">
        <is>
          <t>AI 算法</t>
        </is>
      </c>
      <c r="D62" s="7" t="inlineStr">
        <is>
          <t>消防通道占用与车辆违停识别</t>
        </is>
      </c>
      <c r="E62" s="7" t="inlineStr">
        <is>
          <t>通道占用、违规停车识别并生成处置工单</t>
        </is>
      </c>
      <c r="F62" s="7" t="inlineStr">
        <is>
          <t>P1</t>
        </is>
      </c>
      <c r="G62" s="7" t="inlineStr">
        <is>
          <t>V2</t>
        </is>
      </c>
      <c r="H62" s="7" t="n">
        <v>8</v>
      </c>
      <c r="I62" s="7" t="n">
        <v>10</v>
      </c>
      <c r="J62" s="8" t="n">
        <v>12000</v>
      </c>
      <c r="K62" s="7" t="inlineStr">
        <is>
          <t>否</t>
        </is>
      </c>
    </row>
    <row r="63">
      <c r="A63" s="7" t="inlineStr">
        <is>
          <t>M05-062</t>
        </is>
      </c>
      <c r="B63" s="7" t="inlineStr">
        <is>
          <t>安防监控与应急</t>
        </is>
      </c>
      <c r="C63" s="7" t="inlineStr">
        <is>
          <t>AI 算法</t>
        </is>
      </c>
      <c r="D63" s="7" t="inlineStr">
        <is>
          <t>重点区域离岗睡岗检测</t>
        </is>
      </c>
      <c r="E63" s="7" t="inlineStr">
        <is>
          <t>门卫、监控室、配电室等岗位的离岗、睡岗检测</t>
        </is>
      </c>
      <c r="F63" s="7" t="inlineStr">
        <is>
          <t>P2</t>
        </is>
      </c>
      <c r="G63" s="7" t="inlineStr">
        <is>
          <t>V2</t>
        </is>
      </c>
      <c r="H63" s="7" t="n">
        <v>8</v>
      </c>
      <c r="I63" s="7" t="n">
        <v>10</v>
      </c>
      <c r="J63" s="8" t="n">
        <v>12000</v>
      </c>
      <c r="K63" s="7" t="inlineStr">
        <is>
          <t>否</t>
        </is>
      </c>
    </row>
    <row r="64">
      <c r="A64" s="7" t="inlineStr">
        <is>
          <t>M05-063</t>
        </is>
      </c>
      <c r="B64" s="7" t="inlineStr">
        <is>
          <t>安防监控与应急</t>
        </is>
      </c>
      <c r="C64" s="7" t="inlineStr">
        <is>
          <t>事件管理</t>
        </is>
      </c>
      <c r="D64" s="7" t="inlineStr">
        <is>
          <t>事件自动派单与闭环处置</t>
        </is>
      </c>
      <c r="E64" s="7" t="inlineStr">
        <is>
          <t>告警自动派单到责任人，支持接单、到场、处置、复核、归档全流程</t>
        </is>
      </c>
      <c r="F64" s="7" t="inlineStr">
        <is>
          <t>P0</t>
        </is>
      </c>
      <c r="G64" s="7" t="inlineStr">
        <is>
          <t>MVP</t>
        </is>
      </c>
      <c r="H64" s="7" t="n">
        <v>8</v>
      </c>
      <c r="I64" s="7" t="n">
        <v>11</v>
      </c>
      <c r="J64" s="8" t="n">
        <v>13200</v>
      </c>
      <c r="K64" s="7" t="inlineStr">
        <is>
          <t>否</t>
        </is>
      </c>
    </row>
    <row r="65">
      <c r="A65" s="7" t="inlineStr">
        <is>
          <t>M05-064</t>
        </is>
      </c>
      <c r="B65" s="7" t="inlineStr">
        <is>
          <t>安防监控与应急</t>
        </is>
      </c>
      <c r="C65" s="7" t="inlineStr">
        <is>
          <t>应急管理</t>
        </is>
      </c>
      <c r="D65" s="7" t="inlineStr">
        <is>
          <t>应急预案与演练管理</t>
        </is>
      </c>
      <c r="E65" s="7" t="inlineStr">
        <is>
          <t>预案库维护、一键启动、处置步骤下发、演练记录与复盘</t>
        </is>
      </c>
      <c r="F65" s="7" t="inlineStr">
        <is>
          <t>P1</t>
        </is>
      </c>
      <c r="G65" s="7" t="inlineStr">
        <is>
          <t>V2</t>
        </is>
      </c>
      <c r="H65" s="7" t="n">
        <v>8</v>
      </c>
      <c r="I65" s="7" t="n">
        <v>10</v>
      </c>
      <c r="J65" s="8" t="n">
        <v>12000</v>
      </c>
      <c r="K65" s="7" t="inlineStr">
        <is>
          <t>否</t>
        </is>
      </c>
    </row>
    <row r="66">
      <c r="A66" s="7" t="inlineStr">
        <is>
          <t>M05-065</t>
        </is>
      </c>
      <c r="B66" s="7" t="inlineStr">
        <is>
          <t>安防监控与应急</t>
        </is>
      </c>
      <c r="C66" s="7" t="inlineStr">
        <is>
          <t>应急管理</t>
        </is>
      </c>
      <c r="D66" s="7" t="inlineStr">
        <is>
          <t>电子巡更与巡检</t>
        </is>
      </c>
      <c r="E66" s="7" t="inlineStr">
        <is>
          <t>巡更点与路线配置、扫码/NFC 打卡、漏巡提醒与巡查记录</t>
        </is>
      </c>
      <c r="F66" s="7" t="inlineStr">
        <is>
          <t>P1</t>
        </is>
      </c>
      <c r="G66" s="7" t="inlineStr">
        <is>
          <t>V2</t>
        </is>
      </c>
      <c r="H66" s="7" t="n">
        <v>8</v>
      </c>
      <c r="I66" s="7" t="n">
        <v>10</v>
      </c>
      <c r="J66" s="8" t="n">
        <v>12000</v>
      </c>
      <c r="K66" s="7" t="inlineStr">
        <is>
          <t>否</t>
        </is>
      </c>
    </row>
    <row r="67">
      <c r="A67" s="7" t="inlineStr">
        <is>
          <t>M05-066</t>
        </is>
      </c>
      <c r="B67" s="7" t="inlineStr">
        <is>
          <t>安防监控与应急</t>
        </is>
      </c>
      <c r="C67" s="7" t="inlineStr">
        <is>
          <t>应急管理</t>
        </is>
      </c>
      <c r="D67" s="7" t="inlineStr">
        <is>
          <t>消防系统联动报警</t>
        </is>
      </c>
      <c r="E67" s="7" t="inlineStr">
        <is>
          <t>对接消防主机，火灾报警与视频、门禁、广播联动</t>
        </is>
      </c>
      <c r="F67" s="7" t="inlineStr">
        <is>
          <t>P1</t>
        </is>
      </c>
      <c r="G67" s="7" t="inlineStr">
        <is>
          <t>V3</t>
        </is>
      </c>
      <c r="H67" s="7" t="n">
        <v>15</v>
      </c>
      <c r="I67" s="7" t="n">
        <v>19</v>
      </c>
      <c r="J67" s="8" t="n">
        <v>22800</v>
      </c>
      <c r="K67" s="7" t="inlineStr">
        <is>
          <t>是</t>
        </is>
      </c>
    </row>
    <row r="68">
      <c r="A68" s="7" t="inlineStr">
        <is>
          <t>M05-067</t>
        </is>
      </c>
      <c r="B68" s="7" t="inlineStr">
        <is>
          <t>安防监控与应急</t>
        </is>
      </c>
      <c r="C68" s="7" t="inlineStr">
        <is>
          <t>应急管理</t>
        </is>
      </c>
      <c r="D68" s="7" t="inlineStr">
        <is>
          <t>一键报警与求助</t>
        </is>
      </c>
      <c r="E68" s="7" t="inlineStr">
        <is>
          <t>校门、宿舍、操场报警柱与移动端一键报警，定位自动上报</t>
        </is>
      </c>
      <c r="F68" s="7" t="inlineStr">
        <is>
          <t>P2</t>
        </is>
      </c>
      <c r="G68" s="7" t="inlineStr">
        <is>
          <t>V3</t>
        </is>
      </c>
      <c r="H68" s="7" t="n">
        <v>8</v>
      </c>
      <c r="I68" s="7" t="n">
        <v>10</v>
      </c>
      <c r="J68" s="8" t="n">
        <v>12000</v>
      </c>
      <c r="K68" s="7" t="inlineStr">
        <is>
          <t>否</t>
        </is>
      </c>
    </row>
    <row r="69">
      <c r="A69" s="7" t="inlineStr">
        <is>
          <t>M05-068</t>
        </is>
      </c>
      <c r="B69" s="7" t="inlineStr">
        <is>
          <t>安防监控与应急</t>
        </is>
      </c>
      <c r="C69" s="7" t="inlineStr">
        <is>
          <t>事件管理</t>
        </is>
      </c>
      <c r="D69" s="7" t="inlineStr">
        <is>
          <t>视频追溯与快速检索</t>
        </is>
      </c>
      <c r="E69" s="7" t="inlineStr">
        <is>
          <t>按人员、车辆、时间、区域多维检索，一键调取关联录像</t>
        </is>
      </c>
      <c r="F69" s="7" t="inlineStr">
        <is>
          <t>P1</t>
        </is>
      </c>
      <c r="G69" s="7" t="inlineStr">
        <is>
          <t>V1</t>
        </is>
      </c>
      <c r="H69" s="7" t="n">
        <v>15</v>
      </c>
      <c r="I69" s="7" t="n">
        <v>19</v>
      </c>
      <c r="J69" s="8" t="n">
        <v>22800</v>
      </c>
      <c r="K69" s="7" t="inlineStr">
        <is>
          <t>是</t>
        </is>
      </c>
    </row>
    <row r="70">
      <c r="A70" s="7" t="inlineStr">
        <is>
          <t>M06-069</t>
        </is>
      </c>
      <c r="B70" s="7" t="inlineStr">
        <is>
          <t>教学与办公协同</t>
        </is>
      </c>
      <c r="C70" s="7" t="inlineStr">
        <is>
          <t>教学管理</t>
        </is>
      </c>
      <c r="D70" s="7" t="inlineStr">
        <is>
          <t>智能排课与调课管理</t>
        </is>
      </c>
      <c r="E70" s="7" t="inlineStr">
        <is>
          <t>课表导入与冲突校验、调代课申请审批、通知自动下发</t>
        </is>
      </c>
      <c r="F70" s="7" t="inlineStr">
        <is>
          <t>P1</t>
        </is>
      </c>
      <c r="G70" s="7" t="inlineStr">
        <is>
          <t>V1</t>
        </is>
      </c>
      <c r="H70" s="7" t="n">
        <v>8</v>
      </c>
      <c r="I70" s="7" t="n">
        <v>10</v>
      </c>
      <c r="J70" s="8" t="n">
        <v>12000</v>
      </c>
      <c r="K70" s="7" t="inlineStr">
        <is>
          <t>否</t>
        </is>
      </c>
    </row>
    <row r="71">
      <c r="A71" s="7" t="inlineStr">
        <is>
          <t>M06-070</t>
        </is>
      </c>
      <c r="B71" s="7" t="inlineStr">
        <is>
          <t>教学与办公协同</t>
        </is>
      </c>
      <c r="C71" s="7" t="inlineStr">
        <is>
          <t>教学管理</t>
        </is>
      </c>
      <c r="D71" s="7" t="inlineStr">
        <is>
          <t>班牌课堂考勤</t>
        </is>
      </c>
      <c r="E71" s="7" t="inlineStr">
        <is>
          <t>电子班牌刷卡/人脸考勤，缺勤自动提醒班主任与家长</t>
        </is>
      </c>
      <c r="F71" s="7" t="inlineStr">
        <is>
          <t>P2</t>
        </is>
      </c>
      <c r="G71" s="7" t="inlineStr">
        <is>
          <t>V2</t>
        </is>
      </c>
      <c r="H71" s="7" t="n">
        <v>15</v>
      </c>
      <c r="I71" s="7" t="n">
        <v>19</v>
      </c>
      <c r="J71" s="8" t="n">
        <v>22800</v>
      </c>
      <c r="K71" s="7" t="inlineStr">
        <is>
          <t>是</t>
        </is>
      </c>
    </row>
    <row r="72">
      <c r="A72" s="7" t="inlineStr">
        <is>
          <t>M06-071</t>
        </is>
      </c>
      <c r="B72" s="7" t="inlineStr">
        <is>
          <t>教学与办公协同</t>
        </is>
      </c>
      <c r="C72" s="7" t="inlineStr">
        <is>
          <t>协同办公</t>
        </is>
      </c>
      <c r="D72" s="7" t="inlineStr">
        <is>
          <t>OA 审批工作流</t>
        </is>
      </c>
      <c r="E72" s="7" t="inlineStr">
        <is>
          <t>请假、调课、报修、用车、用章、采购等审批流程的可配置化</t>
        </is>
      </c>
      <c r="F72" s="7" t="inlineStr">
        <is>
          <t>P0</t>
        </is>
      </c>
      <c r="G72" s="7" t="inlineStr">
        <is>
          <t>MVP</t>
        </is>
      </c>
      <c r="H72" s="7" t="n">
        <v>8</v>
      </c>
      <c r="I72" s="7" t="n">
        <v>11</v>
      </c>
      <c r="J72" s="8" t="n">
        <v>13200</v>
      </c>
      <c r="K72" s="7" t="inlineStr">
        <is>
          <t>否</t>
        </is>
      </c>
    </row>
    <row r="73">
      <c r="A73" s="7" t="inlineStr">
        <is>
          <t>M06-072</t>
        </is>
      </c>
      <c r="B73" s="7" t="inlineStr">
        <is>
          <t>教学与办公协同</t>
        </is>
      </c>
      <c r="C73" s="7" t="inlineStr">
        <is>
          <t>协同办公</t>
        </is>
      </c>
      <c r="D73" s="7" t="inlineStr">
        <is>
          <t>通知与消息中心</t>
        </is>
      </c>
      <c r="E73" s="7" t="inlineStr">
        <is>
          <t>校内通知、定向通知、短信/微信/站内多通道送达与已读回执</t>
        </is>
      </c>
      <c r="F73" s="7" t="inlineStr">
        <is>
          <t>P0</t>
        </is>
      </c>
      <c r="G73" s="7" t="inlineStr">
        <is>
          <t>MVP</t>
        </is>
      </c>
      <c r="H73" s="7" t="n">
        <v>13</v>
      </c>
      <c r="I73" s="7" t="n">
        <v>18</v>
      </c>
      <c r="J73" s="8" t="n">
        <v>21600</v>
      </c>
      <c r="K73" s="7" t="inlineStr">
        <is>
          <t>部分</t>
        </is>
      </c>
    </row>
    <row r="74">
      <c r="A74" s="7" t="inlineStr">
        <is>
          <t>M06-073</t>
        </is>
      </c>
      <c r="B74" s="7" t="inlineStr">
        <is>
          <t>教学与办公协同</t>
        </is>
      </c>
      <c r="C74" s="7" t="inlineStr">
        <is>
          <t>协同办公</t>
        </is>
      </c>
      <c r="D74" s="7" t="inlineStr">
        <is>
          <t>会议室与场地预约</t>
        </is>
      </c>
      <c r="E74" s="7" t="inlineStr">
        <is>
          <t>会议室、报告厅、体育场馆预约、审批与使用核销</t>
        </is>
      </c>
      <c r="F74" s="7" t="inlineStr">
        <is>
          <t>P2</t>
        </is>
      </c>
      <c r="G74" s="7" t="inlineStr">
        <is>
          <t>V2</t>
        </is>
      </c>
      <c r="H74" s="7" t="n">
        <v>8</v>
      </c>
      <c r="I74" s="7" t="n">
        <v>10</v>
      </c>
      <c r="J74" s="8" t="n">
        <v>12000</v>
      </c>
      <c r="K74" s="7" t="inlineStr">
        <is>
          <t>否</t>
        </is>
      </c>
    </row>
    <row r="75">
      <c r="A75" s="7" t="inlineStr">
        <is>
          <t>M06-074</t>
        </is>
      </c>
      <c r="B75" s="7" t="inlineStr">
        <is>
          <t>教学与办公协同</t>
        </is>
      </c>
      <c r="C75" s="7" t="inlineStr">
        <is>
          <t>协同办公</t>
        </is>
      </c>
      <c r="D75" s="7" t="inlineStr">
        <is>
          <t>值班与交接班管理</t>
        </is>
      </c>
      <c r="E75" s="7" t="inlineStr">
        <is>
          <t>值班表编排、到岗确认、交接班记录与未到岗提醒</t>
        </is>
      </c>
      <c r="F75" s="7" t="inlineStr">
        <is>
          <t>P1</t>
        </is>
      </c>
      <c r="G75" s="7" t="inlineStr">
        <is>
          <t>V1</t>
        </is>
      </c>
      <c r="H75" s="7" t="n">
        <v>8</v>
      </c>
      <c r="I75" s="7" t="n">
        <v>10</v>
      </c>
      <c r="J75" s="8" t="n">
        <v>12000</v>
      </c>
      <c r="K75" s="7" t="inlineStr">
        <is>
          <t>否</t>
        </is>
      </c>
    </row>
    <row r="76">
      <c r="A76" s="7" t="inlineStr">
        <is>
          <t>M06-075</t>
        </is>
      </c>
      <c r="B76" s="7" t="inlineStr">
        <is>
          <t>教学与办公协同</t>
        </is>
      </c>
      <c r="C76" s="7" t="inlineStr">
        <is>
          <t>家校协同</t>
        </is>
      </c>
      <c r="D76" s="7" t="inlineStr">
        <is>
          <t>家校互通与通知触达</t>
        </is>
      </c>
      <c r="E76" s="7" t="inlineStr">
        <is>
          <t>家长端接收归寝、请假、消费、成绩与安全提醒</t>
        </is>
      </c>
      <c r="F76" s="7" t="inlineStr">
        <is>
          <t>P1</t>
        </is>
      </c>
      <c r="G76" s="7" t="inlineStr">
        <is>
          <t>V1</t>
        </is>
      </c>
      <c r="H76" s="7" t="n">
        <v>8</v>
      </c>
      <c r="I76" s="7" t="n">
        <v>10</v>
      </c>
      <c r="J76" s="8" t="n">
        <v>12000</v>
      </c>
      <c r="K76" s="7" t="inlineStr">
        <is>
          <t>否</t>
        </is>
      </c>
    </row>
    <row r="77">
      <c r="A77" s="7" t="inlineStr">
        <is>
          <t>M06-076</t>
        </is>
      </c>
      <c r="B77" s="7" t="inlineStr">
        <is>
          <t>教学与办公协同</t>
        </is>
      </c>
      <c r="C77" s="7" t="inlineStr">
        <is>
          <t>教学管理</t>
        </is>
      </c>
      <c r="D77" s="7" t="inlineStr">
        <is>
          <t>实习实训学生管理</t>
        </is>
      </c>
      <c r="E77" s="7" t="inlineStr">
        <is>
          <t>外出实习学生的定位报备、周期签到、企业导师与带队教师管理</t>
        </is>
      </c>
      <c r="F77" s="7" t="inlineStr">
        <is>
          <t>P1</t>
        </is>
      </c>
      <c r="G77" s="7" t="inlineStr">
        <is>
          <t>V2</t>
        </is>
      </c>
      <c r="H77" s="7" t="n">
        <v>8</v>
      </c>
      <c r="I77" s="7" t="n">
        <v>10</v>
      </c>
      <c r="J77" s="8" t="n">
        <v>12000</v>
      </c>
      <c r="K77" s="7" t="inlineStr">
        <is>
          <t>否</t>
        </is>
      </c>
    </row>
    <row r="78">
      <c r="A78" s="7" t="inlineStr">
        <is>
          <t>M06-077</t>
        </is>
      </c>
      <c r="B78" s="7" t="inlineStr">
        <is>
          <t>教学与办公协同</t>
        </is>
      </c>
      <c r="C78" s="7" t="inlineStr">
        <is>
          <t>考勤管理</t>
        </is>
      </c>
      <c r="D78" s="7" t="inlineStr">
        <is>
          <t>教职工考勤与假期管理</t>
        </is>
      </c>
      <c r="E78" s="7" t="inlineStr">
        <is>
          <t>打卡规则、加班调休、请假额度、月度考勤汇总与异常申诉</t>
        </is>
      </c>
      <c r="F78" s="7" t="inlineStr">
        <is>
          <t>P0</t>
        </is>
      </c>
      <c r="G78" s="7" t="inlineStr">
        <is>
          <t>V1</t>
        </is>
      </c>
      <c r="H78" s="7" t="n">
        <v>8</v>
      </c>
      <c r="I78" s="7" t="n">
        <v>10</v>
      </c>
      <c r="J78" s="8" t="n">
        <v>12000</v>
      </c>
      <c r="K78" s="7" t="inlineStr">
        <is>
          <t>否</t>
        </is>
      </c>
    </row>
    <row r="79">
      <c r="A79" s="7" t="inlineStr">
        <is>
          <t>M07-078</t>
        </is>
      </c>
      <c r="B79" s="7" t="inlineStr">
        <is>
          <t>生活服务与一卡通</t>
        </is>
      </c>
      <c r="C79" s="7" t="inlineStr">
        <is>
          <t>一卡通</t>
        </is>
      </c>
      <c r="D79" s="7" t="inlineStr">
        <is>
          <t>一卡通账户与卡务管理</t>
        </is>
      </c>
      <c r="E79" s="7" t="inlineStr">
        <is>
          <t>校园卡开户、挂失、解挂、补卡、销户、余额与补贴账户管理</t>
        </is>
      </c>
      <c r="F79" s="7" t="inlineStr">
        <is>
          <t>P2</t>
        </is>
      </c>
      <c r="G79" s="7" t="inlineStr">
        <is>
          <t>V2</t>
        </is>
      </c>
      <c r="H79" s="7" t="n">
        <v>8</v>
      </c>
      <c r="I79" s="7" t="n">
        <v>10</v>
      </c>
      <c r="J79" s="8" t="n">
        <v>12000</v>
      </c>
      <c r="K79" s="7" t="inlineStr">
        <is>
          <t>否</t>
        </is>
      </c>
    </row>
    <row r="80">
      <c r="A80" s="7" t="inlineStr">
        <is>
          <t>M07-079</t>
        </is>
      </c>
      <c r="B80" s="7" t="inlineStr">
        <is>
          <t>生活服务与一卡通</t>
        </is>
      </c>
      <c r="C80" s="7" t="inlineStr">
        <is>
          <t>一卡通</t>
        </is>
      </c>
      <c r="D80" s="7" t="inlineStr">
        <is>
          <t>食堂消费与订餐</t>
        </is>
      </c>
      <c r="E80" s="7" t="inlineStr">
        <is>
          <t>食堂刷卡/刷脸消费、菜品与档口管理、营养分析与订餐取餐</t>
        </is>
      </c>
      <c r="F80" s="7" t="inlineStr">
        <is>
          <t>P2</t>
        </is>
      </c>
      <c r="G80" s="7" t="inlineStr">
        <is>
          <t>V2</t>
        </is>
      </c>
      <c r="H80" s="7" t="n">
        <v>8</v>
      </c>
      <c r="I80" s="7" t="n">
        <v>10</v>
      </c>
      <c r="J80" s="8" t="n">
        <v>12000</v>
      </c>
      <c r="K80" s="7" t="inlineStr">
        <is>
          <t>否</t>
        </is>
      </c>
    </row>
    <row r="81">
      <c r="A81" s="7" t="inlineStr">
        <is>
          <t>M07-080</t>
        </is>
      </c>
      <c r="B81" s="7" t="inlineStr">
        <is>
          <t>生活服务与一卡通</t>
        </is>
      </c>
      <c r="C81" s="7" t="inlineStr">
        <is>
          <t>一卡通</t>
        </is>
      </c>
      <c r="D81" s="7" t="inlineStr">
        <is>
          <t>线上充值与消费查询</t>
        </is>
      </c>
      <c r="E81" s="7" t="inlineStr">
        <is>
          <t>微信/支付宝线上充值、消费明细查询、家长端消费限额与提醒</t>
        </is>
      </c>
      <c r="F81" s="7" t="inlineStr">
        <is>
          <t>P2</t>
        </is>
      </c>
      <c r="G81" s="7" t="inlineStr">
        <is>
          <t>V2</t>
        </is>
      </c>
      <c r="H81" s="7" t="n">
        <v>5</v>
      </c>
      <c r="I81" s="7" t="n">
        <v>6</v>
      </c>
      <c r="J81" s="8" t="n">
        <v>7200</v>
      </c>
      <c r="K81" s="7" t="inlineStr">
        <is>
          <t>否</t>
        </is>
      </c>
    </row>
    <row r="82">
      <c r="A82" s="7" t="inlineStr">
        <is>
          <t>M07-081</t>
        </is>
      </c>
      <c r="B82" s="7" t="inlineStr">
        <is>
          <t>生活服务与一卡通</t>
        </is>
      </c>
      <c r="C82" s="7" t="inlineStr">
        <is>
          <t>生活服务</t>
        </is>
      </c>
      <c r="D82" s="7" t="inlineStr">
        <is>
          <t>宿舍水电智能管控</t>
        </is>
      </c>
      <c r="E82" s="7" t="inlineStr">
        <is>
          <t>智能水电表远程抄表、预付费、超额告警与远程通断</t>
        </is>
      </c>
      <c r="F82" s="7" t="inlineStr">
        <is>
          <t>P2</t>
        </is>
      </c>
      <c r="G82" s="7" t="inlineStr">
        <is>
          <t>V2</t>
        </is>
      </c>
      <c r="H82" s="7" t="n">
        <v>15</v>
      </c>
      <c r="I82" s="7" t="n">
        <v>19</v>
      </c>
      <c r="J82" s="8" t="n">
        <v>22800</v>
      </c>
      <c r="K82" s="7" t="inlineStr">
        <is>
          <t>是</t>
        </is>
      </c>
    </row>
    <row r="83">
      <c r="A83" s="7" t="inlineStr">
        <is>
          <t>M07-082</t>
        </is>
      </c>
      <c r="B83" s="7" t="inlineStr">
        <is>
          <t>生活服务与一卡通</t>
        </is>
      </c>
      <c r="C83" s="7" t="inlineStr">
        <is>
          <t>生活服务</t>
        </is>
      </c>
      <c r="D83" s="7" t="inlineStr">
        <is>
          <t>场馆与设施预约</t>
        </is>
      </c>
      <c r="E83" s="7" t="inlineStr">
        <is>
          <t>实训室、机房、图书馆座位、体育设施的预约与核销</t>
        </is>
      </c>
      <c r="F83" s="7" t="inlineStr">
        <is>
          <t>P2</t>
        </is>
      </c>
      <c r="G83" s="7" t="inlineStr">
        <is>
          <t>V3</t>
        </is>
      </c>
      <c r="H83" s="7" t="n">
        <v>8</v>
      </c>
      <c r="I83" s="7" t="n">
        <v>10</v>
      </c>
      <c r="J83" s="8" t="n">
        <v>12000</v>
      </c>
      <c r="K83" s="7" t="inlineStr">
        <is>
          <t>否</t>
        </is>
      </c>
    </row>
    <row r="84">
      <c r="A84" s="7" t="inlineStr">
        <is>
          <t>M07-083</t>
        </is>
      </c>
      <c r="B84" s="7" t="inlineStr">
        <is>
          <t>生活服务与一卡通</t>
        </is>
      </c>
      <c r="C84" s="7" t="inlineStr">
        <is>
          <t>一卡通</t>
        </is>
      </c>
      <c r="D84" s="7" t="inlineStr">
        <is>
          <t>校园统一支付与账单</t>
        </is>
      </c>
      <c r="E84" s="7" t="inlineStr">
        <is>
          <t>学杂费、住宿费、培训费的在线缴费与对账开票</t>
        </is>
      </c>
      <c r="F84" s="7" t="inlineStr">
        <is>
          <t>P3</t>
        </is>
      </c>
      <c r="G84" s="7" t="inlineStr">
        <is>
          <t>V3</t>
        </is>
      </c>
      <c r="H84" s="7" t="n">
        <v>8</v>
      </c>
      <c r="I84" s="7" t="n">
        <v>10</v>
      </c>
      <c r="J84" s="8" t="n">
        <v>12000</v>
      </c>
      <c r="K84" s="7" t="inlineStr">
        <is>
          <t>否</t>
        </is>
      </c>
    </row>
    <row r="85">
      <c r="A85" s="7" t="inlineStr">
        <is>
          <t>M07-084</t>
        </is>
      </c>
      <c r="B85" s="7" t="inlineStr">
        <is>
          <t>生活服务与一卡通</t>
        </is>
      </c>
      <c r="C85" s="7" t="inlineStr">
        <is>
          <t>生活服务</t>
        </is>
      </c>
      <c r="D85" s="7" t="inlineStr">
        <is>
          <t>快递与外卖管理</t>
        </is>
      </c>
      <c r="E85" s="7" t="inlineStr">
        <is>
          <t>快递驿站取件、外卖临时存放与禁入管控</t>
        </is>
      </c>
      <c r="F85" s="7" t="inlineStr">
        <is>
          <t>P3</t>
        </is>
      </c>
      <c r="G85" s="7" t="inlineStr">
        <is>
          <t>V3</t>
        </is>
      </c>
      <c r="H85" s="7" t="n">
        <v>8</v>
      </c>
      <c r="I85" s="7" t="n">
        <v>10</v>
      </c>
      <c r="J85" s="8" t="n">
        <v>12000</v>
      </c>
      <c r="K85" s="7" t="inlineStr">
        <is>
          <t>否</t>
        </is>
      </c>
    </row>
    <row r="86">
      <c r="A86" s="7" t="inlineStr">
        <is>
          <t>M07-085</t>
        </is>
      </c>
      <c r="B86" s="7" t="inlineStr">
        <is>
          <t>生活服务与一卡通</t>
        </is>
      </c>
      <c r="C86" s="7" t="inlineStr">
        <is>
          <t>生活服务</t>
        </is>
      </c>
      <c r="D86" s="7" t="inlineStr">
        <is>
          <t>洗衣房与自助设备运营</t>
        </is>
      </c>
      <c r="E86" s="7" t="inlineStr">
        <is>
          <t>洗衣机、饮水机、吹风机的扫码使用与运营统计</t>
        </is>
      </c>
      <c r="F86" s="7" t="inlineStr">
        <is>
          <t>P3</t>
        </is>
      </c>
      <c r="G86" s="7" t="inlineStr">
        <is>
          <t>V3</t>
        </is>
      </c>
      <c r="H86" s="7" t="n">
        <v>8</v>
      </c>
      <c r="I86" s="7" t="n">
        <v>10</v>
      </c>
      <c r="J86" s="8" t="n">
        <v>12000</v>
      </c>
      <c r="K86" s="7" t="inlineStr">
        <is>
          <t>否</t>
        </is>
      </c>
    </row>
    <row r="87">
      <c r="A87" s="7" t="inlineStr">
        <is>
          <t>M07-086</t>
        </is>
      </c>
      <c r="B87" s="7" t="inlineStr">
        <is>
          <t>生活服务与一卡通</t>
        </is>
      </c>
      <c r="C87" s="7" t="inlineStr">
        <is>
          <t>生活服务</t>
        </is>
      </c>
      <c r="D87" s="7" t="inlineStr">
        <is>
          <t>自助打印与文印服务</t>
        </is>
      </c>
      <c r="E87" s="7" t="inlineStr">
        <is>
          <t>自助打印扫描终端的计费、结算与耗材提醒</t>
        </is>
      </c>
      <c r="F87" s="7" t="inlineStr">
        <is>
          <t>P3</t>
        </is>
      </c>
      <c r="G87" s="7" t="inlineStr">
        <is>
          <t>V3</t>
        </is>
      </c>
      <c r="H87" s="7" t="n">
        <v>15</v>
      </c>
      <c r="I87" s="7" t="n">
        <v>19</v>
      </c>
      <c r="J87" s="8" t="n">
        <v>22800</v>
      </c>
      <c r="K87" s="7" t="inlineStr">
        <is>
          <t>是</t>
        </is>
      </c>
    </row>
    <row r="88">
      <c r="A88" s="7" t="inlineStr">
        <is>
          <t>M07-087</t>
        </is>
      </c>
      <c r="B88" s="7" t="inlineStr">
        <is>
          <t>生活服务与一卡通</t>
        </is>
      </c>
      <c r="C88" s="7" t="inlineStr">
        <is>
          <t>生活服务</t>
        </is>
      </c>
      <c r="D88" s="7" t="inlineStr">
        <is>
          <t>失物招领与微服务</t>
        </is>
      </c>
      <c r="E88" s="7" t="inlineStr">
        <is>
          <t>失物登记、认领与校内微服务入口聚合</t>
        </is>
      </c>
      <c r="F88" s="7" t="inlineStr">
        <is>
          <t>P3</t>
        </is>
      </c>
      <c r="G88" s="7" t="inlineStr">
        <is>
          <t>V3</t>
        </is>
      </c>
      <c r="H88" s="7" t="n">
        <v>8</v>
      </c>
      <c r="I88" s="7" t="n">
        <v>10</v>
      </c>
      <c r="J88" s="8" t="n">
        <v>12000</v>
      </c>
      <c r="K88" s="7" t="inlineStr">
        <is>
          <t>否</t>
        </is>
      </c>
    </row>
    <row r="89">
      <c r="A89" s="7" t="inlineStr">
        <is>
          <t>M08-088</t>
        </is>
      </c>
      <c r="B89" s="7" t="inlineStr">
        <is>
          <t>能源与设施设备管理</t>
        </is>
      </c>
      <c r="C89" s="7" t="inlineStr">
        <is>
          <t>能源管理</t>
        </is>
      </c>
      <c r="D89" s="7" t="inlineStr">
        <is>
          <t>能耗分项计量与监测</t>
        </is>
      </c>
      <c r="E89" s="7" t="inlineStr">
        <is>
          <t>电、水、气分楼栋/分区域计量、远程抄表与实时监测</t>
        </is>
      </c>
      <c r="F89" s="7" t="inlineStr">
        <is>
          <t>P2</t>
        </is>
      </c>
      <c r="G89" s="7" t="inlineStr">
        <is>
          <t>V2</t>
        </is>
      </c>
      <c r="H89" s="7" t="n">
        <v>8</v>
      </c>
      <c r="I89" s="7" t="n">
        <v>10</v>
      </c>
      <c r="J89" s="8" t="n">
        <v>12000</v>
      </c>
      <c r="K89" s="7" t="inlineStr">
        <is>
          <t>否</t>
        </is>
      </c>
    </row>
    <row r="90">
      <c r="A90" s="7" t="inlineStr">
        <is>
          <t>M08-089</t>
        </is>
      </c>
      <c r="B90" s="7" t="inlineStr">
        <is>
          <t>能源与设施设备管理</t>
        </is>
      </c>
      <c r="C90" s="7" t="inlineStr">
        <is>
          <t>能源管理</t>
        </is>
      </c>
      <c r="D90" s="7" t="inlineStr">
        <is>
          <t>能耗异常与浪费预警</t>
        </is>
      </c>
      <c r="E90" s="7" t="inlineStr">
        <is>
          <t>夜间异常用电、长明灯、长流水、跑冒滴漏识别与提醒</t>
        </is>
      </c>
      <c r="F90" s="7" t="inlineStr">
        <is>
          <t>P2</t>
        </is>
      </c>
      <c r="G90" s="7" t="inlineStr">
        <is>
          <t>V2</t>
        </is>
      </c>
      <c r="H90" s="7" t="n">
        <v>8</v>
      </c>
      <c r="I90" s="7" t="n">
        <v>10</v>
      </c>
      <c r="J90" s="8" t="n">
        <v>12000</v>
      </c>
      <c r="K90" s="7" t="inlineStr">
        <is>
          <t>否</t>
        </is>
      </c>
    </row>
    <row r="91">
      <c r="A91" s="7" t="inlineStr">
        <is>
          <t>M08-090</t>
        </is>
      </c>
      <c r="B91" s="7" t="inlineStr">
        <is>
          <t>能源与设施设备管理</t>
        </is>
      </c>
      <c r="C91" s="7" t="inlineStr">
        <is>
          <t>资产管理</t>
        </is>
      </c>
      <c r="D91" s="7" t="inlineStr">
        <is>
          <t>设施设备台账与资产档案</t>
        </is>
      </c>
      <c r="E91" s="7" t="inlineStr">
        <is>
          <t>设备一物一码、购置/维保/报废全生命周期档案</t>
        </is>
      </c>
      <c r="F91" s="7" t="inlineStr">
        <is>
          <t>P2</t>
        </is>
      </c>
      <c r="G91" s="7" t="inlineStr">
        <is>
          <t>V2</t>
        </is>
      </c>
      <c r="H91" s="7" t="n">
        <v>5</v>
      </c>
      <c r="I91" s="7" t="n">
        <v>6</v>
      </c>
      <c r="J91" s="8" t="n">
        <v>7200</v>
      </c>
      <c r="K91" s="7" t="inlineStr">
        <is>
          <t>否</t>
        </is>
      </c>
    </row>
    <row r="92">
      <c r="A92" s="7" t="inlineStr">
        <is>
          <t>M08-091</t>
        </is>
      </c>
      <c r="B92" s="7" t="inlineStr">
        <is>
          <t>能源与设施设备管理</t>
        </is>
      </c>
      <c r="C92" s="7" t="inlineStr">
        <is>
          <t>运维管理</t>
        </is>
      </c>
      <c r="D92" s="7" t="inlineStr">
        <is>
          <t>故障报修与工单管理</t>
        </is>
      </c>
      <c r="E92" s="7" t="inlineStr">
        <is>
          <t>扫码报修、自动派单、进度跟踪、完工确认与满意度评价</t>
        </is>
      </c>
      <c r="F92" s="7" t="inlineStr">
        <is>
          <t>P1</t>
        </is>
      </c>
      <c r="G92" s="7" t="inlineStr">
        <is>
          <t>V1</t>
        </is>
      </c>
      <c r="H92" s="7" t="n">
        <v>8</v>
      </c>
      <c r="I92" s="7" t="n">
        <v>10</v>
      </c>
      <c r="J92" s="8" t="n">
        <v>12000</v>
      </c>
      <c r="K92" s="7" t="inlineStr">
        <is>
          <t>否</t>
        </is>
      </c>
    </row>
    <row r="93">
      <c r="A93" s="7" t="inlineStr">
        <is>
          <t>M08-092</t>
        </is>
      </c>
      <c r="B93" s="7" t="inlineStr">
        <is>
          <t>能源与设施设备管理</t>
        </is>
      </c>
      <c r="C93" s="7" t="inlineStr">
        <is>
          <t>运维管理</t>
        </is>
      </c>
      <c r="D93" s="7" t="inlineStr">
        <is>
          <t>预防性维护与巡检计划</t>
        </is>
      </c>
      <c r="E93" s="7" t="inlineStr">
        <is>
          <t>按周期自动生成保养/巡检计划，超期未完成逐级提醒</t>
        </is>
      </c>
      <c r="F93" s="7" t="inlineStr">
        <is>
          <t>P2</t>
        </is>
      </c>
      <c r="G93" s="7" t="inlineStr">
        <is>
          <t>V2</t>
        </is>
      </c>
      <c r="H93" s="7" t="n">
        <v>8</v>
      </c>
      <c r="I93" s="7" t="n">
        <v>10</v>
      </c>
      <c r="J93" s="8" t="n">
        <v>12000</v>
      </c>
      <c r="K93" s="7" t="inlineStr">
        <is>
          <t>否</t>
        </is>
      </c>
    </row>
    <row r="94">
      <c r="A94" s="7" t="inlineStr">
        <is>
          <t>M08-093</t>
        </is>
      </c>
      <c r="B94" s="7" t="inlineStr">
        <is>
          <t>能源与设施设备管理</t>
        </is>
      </c>
      <c r="C94" s="7" t="inlineStr">
        <is>
          <t>环境监测</t>
        </is>
      </c>
      <c r="D94" s="7" t="inlineStr">
        <is>
          <t>环境与气象监测联动</t>
        </is>
      </c>
      <c r="E94" s="7" t="inlineStr">
        <is>
          <t>温湿度、PM2.5、CO₂、噪声监测，联动新风、照明与预警</t>
        </is>
      </c>
      <c r="F94" s="7" t="inlineStr">
        <is>
          <t>P2</t>
        </is>
      </c>
      <c r="G94" s="7" t="inlineStr">
        <is>
          <t>V2</t>
        </is>
      </c>
      <c r="H94" s="7" t="n">
        <v>13</v>
      </c>
      <c r="I94" s="7" t="n">
        <v>16</v>
      </c>
      <c r="J94" s="8" t="n">
        <v>19200</v>
      </c>
      <c r="K94" s="7" t="inlineStr">
        <is>
          <t>部分</t>
        </is>
      </c>
    </row>
    <row r="95">
      <c r="A95" s="7" t="inlineStr">
        <is>
          <t>M08-094</t>
        </is>
      </c>
      <c r="B95" s="7" t="inlineStr">
        <is>
          <t>能源与设施设备管理</t>
        </is>
      </c>
      <c r="C95" s="7" t="inlineStr">
        <is>
          <t>安全管理</t>
        </is>
      </c>
      <c r="D95" s="7" t="inlineStr">
        <is>
          <t>电梯与特种设备监控</t>
        </is>
      </c>
      <c r="E95" s="7" t="inlineStr">
        <is>
          <t>电梯运行状态、困人报警联动；锅炉、压力容器等特种设备台账</t>
        </is>
      </c>
      <c r="F95" s="7" t="inlineStr">
        <is>
          <t>P3</t>
        </is>
      </c>
      <c r="G95" s="7" t="inlineStr">
        <is>
          <t>V3</t>
        </is>
      </c>
      <c r="H95" s="7" t="n">
        <v>13</v>
      </c>
      <c r="I95" s="7" t="n">
        <v>16</v>
      </c>
      <c r="J95" s="8" t="n">
        <v>19200</v>
      </c>
      <c r="K95" s="7" t="inlineStr">
        <is>
          <t>部分</t>
        </is>
      </c>
    </row>
    <row r="96">
      <c r="A96" s="7" t="inlineStr">
        <is>
          <t>M08-095</t>
        </is>
      </c>
      <c r="B96" s="7" t="inlineStr">
        <is>
          <t>能源与设施设备管理</t>
        </is>
      </c>
      <c r="C96" s="7" t="inlineStr">
        <is>
          <t>能源管理</t>
        </is>
      </c>
      <c r="D96" s="7" t="inlineStr">
        <is>
          <t>给排水与管网监测</t>
        </is>
      </c>
      <c r="E96" s="7" t="inlineStr">
        <is>
          <t>水泵房、水箱液位与管网压力监测，漏水与溢流告警</t>
        </is>
      </c>
      <c r="F96" s="7" t="inlineStr">
        <is>
          <t>P3</t>
        </is>
      </c>
      <c r="G96" s="7" t="inlineStr">
        <is>
          <t>V3</t>
        </is>
      </c>
      <c r="H96" s="7" t="n">
        <v>8</v>
      </c>
      <c r="I96" s="7" t="n">
        <v>10</v>
      </c>
      <c r="J96" s="8" t="n">
        <v>12000</v>
      </c>
      <c r="K96" s="7" t="inlineStr">
        <is>
          <t>否</t>
        </is>
      </c>
    </row>
    <row r="97">
      <c r="A97" s="7" t="inlineStr">
        <is>
          <t>M08-096</t>
        </is>
      </c>
      <c r="B97" s="7" t="inlineStr">
        <is>
          <t>能源与设施设备管理</t>
        </is>
      </c>
      <c r="C97" s="7" t="inlineStr">
        <is>
          <t>能源管理</t>
        </is>
      </c>
      <c r="D97" s="7" t="inlineStr">
        <is>
          <t>低碳校园与碳排分析</t>
        </is>
      </c>
      <c r="E97" s="7" t="inlineStr">
        <is>
          <t>碳排核算、节能目标达成度、绿色校园指标看板</t>
        </is>
      </c>
      <c r="F97" s="7" t="inlineStr">
        <is>
          <t>P3</t>
        </is>
      </c>
      <c r="G97" s="7" t="inlineStr">
        <is>
          <t>V3</t>
        </is>
      </c>
      <c r="H97" s="7" t="n">
        <v>8</v>
      </c>
      <c r="I97" s="7" t="n">
        <v>10</v>
      </c>
      <c r="J97" s="8" t="n">
        <v>12000</v>
      </c>
      <c r="K97" s="7" t="inlineStr">
        <is>
          <t>否</t>
        </is>
      </c>
    </row>
    <row r="98">
      <c r="A98" s="7" t="inlineStr">
        <is>
          <t>M09-097</t>
        </is>
      </c>
      <c r="B98" s="7" t="inlineStr">
        <is>
          <t>数据与决策分析</t>
        </is>
      </c>
      <c r="C98" s="7" t="inlineStr">
        <is>
          <t>数据底座</t>
        </is>
      </c>
      <c r="D98" s="7" t="inlineStr">
        <is>
          <t>数据中台与指标体系统一</t>
        </is>
      </c>
      <c r="E98" s="7" t="inlineStr">
        <is>
          <t>数据汇聚、指标口径统一、数据字典与主数据管理</t>
        </is>
      </c>
      <c r="F98" s="7" t="inlineStr">
        <is>
          <t>P1</t>
        </is>
      </c>
      <c r="G98" s="7" t="inlineStr">
        <is>
          <t>V1</t>
        </is>
      </c>
      <c r="H98" s="7" t="n">
        <v>13</v>
      </c>
      <c r="I98" s="7" t="n">
        <v>16</v>
      </c>
      <c r="J98" s="8" t="n">
        <v>19200</v>
      </c>
      <c r="K98" s="7" t="inlineStr">
        <is>
          <t>部分</t>
        </is>
      </c>
    </row>
    <row r="99">
      <c r="A99" s="7" t="inlineStr">
        <is>
          <t>M09-098</t>
        </is>
      </c>
      <c r="B99" s="7" t="inlineStr">
        <is>
          <t>数据与决策分析</t>
        </is>
      </c>
      <c r="C99" s="7" t="inlineStr">
        <is>
          <t>决策支持</t>
        </is>
      </c>
      <c r="D99" s="7" t="inlineStr">
        <is>
          <t>领导驾驶舱与智慧大屏</t>
        </is>
      </c>
      <c r="E99" s="7" t="inlineStr">
        <is>
          <t>安全、出入、能耗、教学、服务多维一张图，支持大屏与移动端</t>
        </is>
      </c>
      <c r="F99" s="7" t="inlineStr">
        <is>
          <t>P1</t>
        </is>
      </c>
      <c r="G99" s="7" t="inlineStr">
        <is>
          <t>V1</t>
        </is>
      </c>
      <c r="H99" s="7" t="n">
        <v>13</v>
      </c>
      <c r="I99" s="7" t="n">
        <v>16</v>
      </c>
      <c r="J99" s="8" t="n">
        <v>19200</v>
      </c>
      <c r="K99" s="7" t="inlineStr">
        <is>
          <t>部分</t>
        </is>
      </c>
    </row>
    <row r="100">
      <c r="A100" s="7" t="inlineStr">
        <is>
          <t>M09-099</t>
        </is>
      </c>
      <c r="B100" s="7" t="inlineStr">
        <is>
          <t>数据与决策分析</t>
        </is>
      </c>
      <c r="C100" s="7" t="inlineStr">
        <is>
          <t>决策支持</t>
        </is>
      </c>
      <c r="D100" s="7" t="inlineStr">
        <is>
          <t>多维统计与自定义报表</t>
        </is>
      </c>
      <c r="E100" s="7" t="inlineStr">
        <is>
          <t>拖拽式报表设计、定时推送、导出 Excel/PDF</t>
        </is>
      </c>
      <c r="F100" s="7" t="inlineStr">
        <is>
          <t>P1</t>
        </is>
      </c>
      <c r="G100" s="7" t="inlineStr">
        <is>
          <t>V2</t>
        </is>
      </c>
      <c r="H100" s="7" t="n">
        <v>13</v>
      </c>
      <c r="I100" s="7" t="n">
        <v>16</v>
      </c>
      <c r="J100" s="8" t="n">
        <v>19200</v>
      </c>
      <c r="K100" s="7" t="inlineStr">
        <is>
          <t>部分</t>
        </is>
      </c>
    </row>
    <row r="101">
      <c r="A101" s="7" t="inlineStr">
        <is>
          <t>M09-100</t>
        </is>
      </c>
      <c r="B101" s="7" t="inlineStr">
        <is>
          <t>数据与决策分析</t>
        </is>
      </c>
      <c r="C101" s="7" t="inlineStr">
        <is>
          <t>决策支持</t>
        </is>
      </c>
      <c r="D101" s="7" t="inlineStr">
        <is>
          <t>异常预警与趋势预测</t>
        </is>
      </c>
      <c r="E101" s="7" t="inlineStr">
        <is>
          <t>基于历史数据的趋势分析、异常检测与风险预测</t>
        </is>
      </c>
      <c r="F101" s="7" t="inlineStr">
        <is>
          <t>P2</t>
        </is>
      </c>
      <c r="G101" s="7" t="inlineStr">
        <is>
          <t>V3</t>
        </is>
      </c>
      <c r="H101" s="7" t="n">
        <v>8</v>
      </c>
      <c r="I101" s="7" t="n">
        <v>10</v>
      </c>
      <c r="J101" s="8" t="n">
        <v>12000</v>
      </c>
      <c r="K101" s="7" t="inlineStr">
        <is>
          <t>否</t>
        </is>
      </c>
    </row>
    <row r="102">
      <c r="A102" s="7" t="inlineStr">
        <is>
          <t>M09-101</t>
        </is>
      </c>
      <c r="B102" s="7" t="inlineStr">
        <is>
          <t>数据与决策分析</t>
        </is>
      </c>
      <c r="C102" s="7" t="inlineStr">
        <is>
          <t>上报管理</t>
        </is>
      </c>
      <c r="D102" s="7" t="inlineStr">
        <is>
          <t>教育数据上报与迎检材料</t>
        </is>
      </c>
      <c r="E102" s="7" t="inlineStr">
        <is>
          <t>按主管部门要求自动生成统计报表与迎检台账</t>
        </is>
      </c>
      <c r="F102" s="7" t="inlineStr">
        <is>
          <t>P2</t>
        </is>
      </c>
      <c r="G102" s="7" t="inlineStr">
        <is>
          <t>V2</t>
        </is>
      </c>
      <c r="H102" s="7" t="n">
        <v>13</v>
      </c>
      <c r="I102" s="7" t="n">
        <v>16</v>
      </c>
      <c r="J102" s="8" t="n">
        <v>19200</v>
      </c>
      <c r="K102" s="7" t="inlineStr">
        <is>
          <t>部分</t>
        </is>
      </c>
    </row>
    <row r="103">
      <c r="A103" s="7" t="inlineStr">
        <is>
          <t>M09-102</t>
        </is>
      </c>
      <c r="B103" s="7" t="inlineStr">
        <is>
          <t>数据与决策分析</t>
        </is>
      </c>
      <c r="C103" s="7" t="inlineStr">
        <is>
          <t>决策支持</t>
        </is>
      </c>
      <c r="D103" s="7" t="inlineStr">
        <is>
          <t>校园运行画像与主题分析</t>
        </is>
      </c>
      <c r="E103" s="7" t="inlineStr">
        <is>
          <t>学生行为、教师负担、空间利用、安全态势主题分析</t>
        </is>
      </c>
      <c r="F103" s="7" t="inlineStr">
        <is>
          <t>P2</t>
        </is>
      </c>
      <c r="G103" s="7" t="inlineStr">
        <is>
          <t>V3</t>
        </is>
      </c>
      <c r="H103" s="7" t="n">
        <v>8</v>
      </c>
      <c r="I103" s="7" t="n">
        <v>10</v>
      </c>
      <c r="J103" s="8" t="n">
        <v>12000</v>
      </c>
      <c r="K103" s="7" t="inlineStr">
        <is>
          <t>否</t>
        </is>
      </c>
    </row>
    <row r="104">
      <c r="A104" s="7" t="inlineStr">
        <is>
          <t>M09-103</t>
        </is>
      </c>
      <c r="B104" s="7" t="inlineStr">
        <is>
          <t>数据与决策分析</t>
        </is>
      </c>
      <c r="C104" s="7" t="inlineStr">
        <is>
          <t>决策支持</t>
        </is>
      </c>
      <c r="D104" s="7" t="inlineStr">
        <is>
          <t>数据开放与看板订阅</t>
        </is>
      </c>
      <c r="E104" s="7" t="inlineStr">
        <is>
          <t>面向不同角色的看板订阅与消息推送</t>
        </is>
      </c>
      <c r="F104" s="7" t="inlineStr">
        <is>
          <t>P3</t>
        </is>
      </c>
      <c r="G104" s="7" t="inlineStr">
        <is>
          <t>V3</t>
        </is>
      </c>
      <c r="H104" s="7" t="n">
        <v>8</v>
      </c>
      <c r="I104" s="7" t="n">
        <v>10</v>
      </c>
      <c r="J104" s="8" t="n">
        <v>12000</v>
      </c>
      <c r="K104" s="7" t="inlineStr">
        <is>
          <t>否</t>
        </is>
      </c>
    </row>
    <row r="105">
      <c r="A105" s="7" t="inlineStr">
        <is>
          <t>M10-104</t>
        </is>
      </c>
      <c r="B105" s="7" t="inlineStr">
        <is>
          <t>安全与合规</t>
        </is>
      </c>
      <c r="C105" s="7" t="inlineStr">
        <is>
          <t>数据安全</t>
        </is>
      </c>
      <c r="D105" s="7" t="inlineStr">
        <is>
          <t>数据分类分级管理</t>
        </is>
      </c>
      <c r="E105" s="7" t="inlineStr">
        <is>
          <t>数据资产盘点与分类分级，明确敏感数据范围与责任人</t>
        </is>
      </c>
      <c r="F105" s="7" t="inlineStr">
        <is>
          <t>P0</t>
        </is>
      </c>
      <c r="G105" s="7" t="inlineStr">
        <is>
          <t>MVP</t>
        </is>
      </c>
      <c r="H105" s="7" t="n">
        <v>8</v>
      </c>
      <c r="I105" s="7" t="n">
        <v>11</v>
      </c>
      <c r="J105" s="8" t="n">
        <v>13200</v>
      </c>
      <c r="K105" s="7" t="inlineStr">
        <is>
          <t>否</t>
        </is>
      </c>
    </row>
    <row r="106">
      <c r="A106" s="7" t="inlineStr">
        <is>
          <t>M10-105</t>
        </is>
      </c>
      <c r="B106" s="7" t="inlineStr">
        <is>
          <t>安全与合规</t>
        </is>
      </c>
      <c r="C106" s="7" t="inlineStr">
        <is>
          <t>合规管理</t>
        </is>
      </c>
      <c r="D106" s="7" t="inlineStr">
        <is>
          <t>个人信息保护与告知同意</t>
        </is>
      </c>
      <c r="E106" s="7" t="inlineStr">
        <is>
          <t>采集告知、授权同意、最小必要、撤回与注销机制</t>
        </is>
      </c>
      <c r="F106" s="7" t="inlineStr">
        <is>
          <t>P0</t>
        </is>
      </c>
      <c r="G106" s="7" t="inlineStr">
        <is>
          <t>MVP</t>
        </is>
      </c>
      <c r="H106" s="7" t="n">
        <v>8</v>
      </c>
      <c r="I106" s="7" t="n">
        <v>11</v>
      </c>
      <c r="J106" s="8" t="n">
        <v>13200</v>
      </c>
      <c r="K106" s="7" t="inlineStr">
        <is>
          <t>否</t>
        </is>
      </c>
    </row>
    <row r="107">
      <c r="A107" s="7" t="inlineStr">
        <is>
          <t>M10-106</t>
        </is>
      </c>
      <c r="B107" s="7" t="inlineStr">
        <is>
          <t>安全与合规</t>
        </is>
      </c>
      <c r="C107" s="7" t="inlineStr">
        <is>
          <t>合规管理</t>
        </is>
      </c>
      <c r="D107" s="7" t="inlineStr">
        <is>
          <t>人脸等生物特征信息合规管理</t>
        </is>
      </c>
      <c r="E107" s="7" t="inlineStr">
        <is>
          <t>提供刷卡/二维码等替代方式、模板加密存储、不出校园网</t>
        </is>
      </c>
      <c r="F107" s="7" t="inlineStr">
        <is>
          <t>P0</t>
        </is>
      </c>
      <c r="G107" s="7" t="inlineStr">
        <is>
          <t>MVP</t>
        </is>
      </c>
      <c r="H107" s="7" t="n">
        <v>15</v>
      </c>
      <c r="I107" s="7" t="n">
        <v>21</v>
      </c>
      <c r="J107" s="8" t="n">
        <v>25200</v>
      </c>
      <c r="K107" s="7" t="inlineStr">
        <is>
          <t>是</t>
        </is>
      </c>
    </row>
    <row r="108">
      <c r="A108" s="7" t="inlineStr">
        <is>
          <t>M10-107</t>
        </is>
      </c>
      <c r="B108" s="7" t="inlineStr">
        <is>
          <t>安全与合规</t>
        </is>
      </c>
      <c r="C108" s="7" t="inlineStr">
        <is>
          <t>权限管理</t>
        </is>
      </c>
      <c r="D108" s="7" t="inlineStr">
        <is>
          <t>角色权限与最小授权</t>
        </is>
      </c>
      <c r="E108" s="7" t="inlineStr">
        <is>
          <t>RBAC 角色权限、数据行级权限、敏感操作二次确认</t>
        </is>
      </c>
      <c r="F108" s="7" t="inlineStr">
        <is>
          <t>P0</t>
        </is>
      </c>
      <c r="G108" s="7" t="inlineStr">
        <is>
          <t>MVP</t>
        </is>
      </c>
      <c r="H108" s="7" t="n">
        <v>8</v>
      </c>
      <c r="I108" s="7" t="n">
        <v>11</v>
      </c>
      <c r="J108" s="8" t="n">
        <v>13200</v>
      </c>
      <c r="K108" s="7" t="inlineStr">
        <is>
          <t>否</t>
        </is>
      </c>
    </row>
    <row r="109">
      <c r="A109" s="7" t="inlineStr">
        <is>
          <t>M10-108</t>
        </is>
      </c>
      <c r="B109" s="7" t="inlineStr">
        <is>
          <t>安全与合规</t>
        </is>
      </c>
      <c r="C109" s="7" t="inlineStr">
        <is>
          <t>安全审计</t>
        </is>
      </c>
      <c r="D109" s="7" t="inlineStr">
        <is>
          <t>操作审计与日志留痕</t>
        </is>
      </c>
      <c r="E109" s="7" t="inlineStr">
        <is>
          <t>全量操作日志、登录审计、敏感数据访问审计与日志防篡改</t>
        </is>
      </c>
      <c r="F109" s="7" t="inlineStr">
        <is>
          <t>P0</t>
        </is>
      </c>
      <c r="G109" s="7" t="inlineStr">
        <is>
          <t>V1</t>
        </is>
      </c>
      <c r="H109" s="7" t="n">
        <v>13</v>
      </c>
      <c r="I109" s="7" t="n">
        <v>16</v>
      </c>
      <c r="J109" s="8" t="n">
        <v>19200</v>
      </c>
      <c r="K109" s="7" t="inlineStr">
        <is>
          <t>部分</t>
        </is>
      </c>
    </row>
    <row r="110">
      <c r="A110" s="7" t="inlineStr">
        <is>
          <t>M10-109</t>
        </is>
      </c>
      <c r="B110" s="7" t="inlineStr">
        <is>
          <t>安全与合规</t>
        </is>
      </c>
      <c r="C110" s="7" t="inlineStr">
        <is>
          <t>安全保障</t>
        </is>
      </c>
      <c r="D110" s="7" t="inlineStr">
        <is>
          <t>等级保护与安全加固</t>
        </is>
      </c>
      <c r="E110" s="7" t="inlineStr">
        <is>
          <t>按等保 2.0 三级要求进行边界防护、主机加固、漏洞整改</t>
        </is>
      </c>
      <c r="F110" s="7" t="inlineStr">
        <is>
          <t>P1</t>
        </is>
      </c>
      <c r="G110" s="7" t="inlineStr">
        <is>
          <t>V1</t>
        </is>
      </c>
      <c r="H110" s="7" t="n">
        <v>13</v>
      </c>
      <c r="I110" s="7" t="n">
        <v>16</v>
      </c>
      <c r="J110" s="8" t="n">
        <v>19200</v>
      </c>
      <c r="K110" s="7" t="inlineStr">
        <is>
          <t>部分</t>
        </is>
      </c>
    </row>
    <row r="111">
      <c r="A111" s="7" t="inlineStr">
        <is>
          <t>M10-110</t>
        </is>
      </c>
      <c r="B111" s="7" t="inlineStr">
        <is>
          <t>安全与合规</t>
        </is>
      </c>
      <c r="C111" s="7" t="inlineStr">
        <is>
          <t>业务连续性</t>
        </is>
      </c>
      <c r="D111" s="7" t="inlineStr">
        <is>
          <t>容灾备份与应急恢复</t>
        </is>
      </c>
      <c r="E111" s="7" t="inlineStr">
        <is>
          <t>数据库定时备份、异地/离线备份、恢复演练与 RPO/RTO 达标</t>
        </is>
      </c>
      <c r="F111" s="7" t="inlineStr">
        <is>
          <t>P1</t>
        </is>
      </c>
      <c r="G111" s="7" t="inlineStr">
        <is>
          <t>V2</t>
        </is>
      </c>
      <c r="H111" s="7" t="n">
        <v>13</v>
      </c>
      <c r="I111" s="7" t="n">
        <v>16</v>
      </c>
      <c r="J111" s="8" t="n">
        <v>19200</v>
      </c>
      <c r="K111" s="7" t="inlineStr">
        <is>
          <t>部分</t>
        </is>
      </c>
    </row>
    <row r="112">
      <c r="A112" s="7" t="inlineStr">
        <is>
          <t>M10-111</t>
        </is>
      </c>
      <c r="B112" s="7" t="inlineStr">
        <is>
          <t>安全与合规</t>
        </is>
      </c>
      <c r="C112" s="7" t="inlineStr">
        <is>
          <t>安全运营</t>
        </is>
      </c>
      <c r="D112" s="7" t="inlineStr">
        <is>
          <t>安全运营与漏洞管理</t>
        </is>
      </c>
      <c r="E112" s="7" t="inlineStr">
        <is>
          <t>漏洞扫描、补丁管理、安全事件响应与年度安全评估</t>
        </is>
      </c>
      <c r="F112" s="7" t="inlineStr">
        <is>
          <t>P2</t>
        </is>
      </c>
      <c r="G112" s="7" t="inlineStr">
        <is>
          <t>V2</t>
        </is>
      </c>
      <c r="H112" s="7" t="n">
        <v>8</v>
      </c>
      <c r="I112" s="7" t="n">
        <v>10</v>
      </c>
      <c r="J112" s="8" t="n">
        <v>12000</v>
      </c>
      <c r="K112" s="7" t="inlineStr">
        <is>
          <t>否</t>
        </is>
      </c>
    </row>
    <row r="113">
      <c r="A113" s="7" t="inlineStr">
        <is>
          <t>M11-112</t>
        </is>
      </c>
      <c r="B113" s="7" t="inlineStr">
        <is>
          <t>移动端与智能交互</t>
        </is>
      </c>
      <c r="C113" s="7" t="inlineStr">
        <is>
          <t>移动端</t>
        </is>
      </c>
      <c r="D113" s="7" t="inlineStr">
        <is>
          <t>微信小程序统一入口</t>
        </is>
      </c>
      <c r="E113" s="7" t="inlineStr">
        <is>
          <t>扫码、请假、访客、报修、查询等高频服务的轻量入口</t>
        </is>
      </c>
      <c r="F113" s="7" t="inlineStr">
        <is>
          <t>P1</t>
        </is>
      </c>
      <c r="G113" s="7" t="inlineStr">
        <is>
          <t>V1</t>
        </is>
      </c>
      <c r="H113" s="7" t="n">
        <v>5</v>
      </c>
      <c r="I113" s="7" t="n">
        <v>6</v>
      </c>
      <c r="J113" s="8" t="n">
        <v>7200</v>
      </c>
      <c r="K113" s="7" t="inlineStr">
        <is>
          <t>否</t>
        </is>
      </c>
    </row>
    <row r="114">
      <c r="A114" s="7" t="inlineStr">
        <is>
          <t>M11-113</t>
        </is>
      </c>
      <c r="B114" s="7" t="inlineStr">
        <is>
          <t>移动端与智能交互</t>
        </is>
      </c>
      <c r="C114" s="7" t="inlineStr">
        <is>
          <t>移动端</t>
        </is>
      </c>
      <c r="D114" s="7" t="inlineStr">
        <is>
          <t>教职工移动端</t>
        </is>
      </c>
      <c r="E114" s="7" t="inlineStr">
        <is>
          <t>考勤、审批、告警处置、值班、报表查看</t>
        </is>
      </c>
      <c r="F114" s="7" t="inlineStr">
        <is>
          <t>P1</t>
        </is>
      </c>
      <c r="G114" s="7" t="inlineStr">
        <is>
          <t>V1</t>
        </is>
      </c>
      <c r="H114" s="7" t="n">
        <v>13</v>
      </c>
      <c r="I114" s="7" t="n">
        <v>16</v>
      </c>
      <c r="J114" s="8" t="n">
        <v>19200</v>
      </c>
      <c r="K114" s="7" t="inlineStr">
        <is>
          <t>部分</t>
        </is>
      </c>
    </row>
    <row r="115">
      <c r="A115" s="7" t="inlineStr">
        <is>
          <t>M11-114</t>
        </is>
      </c>
      <c r="B115" s="7" t="inlineStr">
        <is>
          <t>移动端与智能交互</t>
        </is>
      </c>
      <c r="C115" s="7" t="inlineStr">
        <is>
          <t>移动端</t>
        </is>
      </c>
      <c r="D115" s="7" t="inlineStr">
        <is>
          <t>学生移动端</t>
        </is>
      </c>
      <c r="E115" s="7" t="inlineStr">
        <is>
          <t>请假、归寝确认、消费查询、通知接收</t>
        </is>
      </c>
      <c r="F115" s="7" t="inlineStr">
        <is>
          <t>P1</t>
        </is>
      </c>
      <c r="G115" s="7" t="inlineStr">
        <is>
          <t>V2</t>
        </is>
      </c>
      <c r="H115" s="7" t="n">
        <v>5</v>
      </c>
      <c r="I115" s="7" t="n">
        <v>6</v>
      </c>
      <c r="J115" s="8" t="n">
        <v>7200</v>
      </c>
      <c r="K115" s="7" t="inlineStr">
        <is>
          <t>否</t>
        </is>
      </c>
    </row>
    <row r="116">
      <c r="A116" s="7" t="inlineStr">
        <is>
          <t>M11-115</t>
        </is>
      </c>
      <c r="B116" s="7" t="inlineStr">
        <is>
          <t>移动端与智能交互</t>
        </is>
      </c>
      <c r="C116" s="7" t="inlineStr">
        <is>
          <t>移动端</t>
        </is>
      </c>
      <c r="D116" s="7" t="inlineStr">
        <is>
          <t>家长移动端</t>
        </is>
      </c>
      <c r="E116" s="7" t="inlineStr">
        <is>
          <t>归寝与请假提醒、消费明细、家校通知</t>
        </is>
      </c>
      <c r="F116" s="7" t="inlineStr">
        <is>
          <t>P1</t>
        </is>
      </c>
      <c r="G116" s="7" t="inlineStr">
        <is>
          <t>V2</t>
        </is>
      </c>
      <c r="H116" s="7" t="n">
        <v>8</v>
      </c>
      <c r="I116" s="7" t="n">
        <v>10</v>
      </c>
      <c r="J116" s="8" t="n">
        <v>12000</v>
      </c>
      <c r="K116" s="7" t="inlineStr">
        <is>
          <t>否</t>
        </is>
      </c>
    </row>
    <row r="117">
      <c r="A117" s="7" t="inlineStr">
        <is>
          <t>M11-116</t>
        </is>
      </c>
      <c r="B117" s="7" t="inlineStr">
        <is>
          <t>移动端与智能交互</t>
        </is>
      </c>
      <c r="C117" s="7" t="inlineStr">
        <is>
          <t>自助终端</t>
        </is>
      </c>
      <c r="D117" s="7" t="inlineStr">
        <is>
          <t>访客自助登记终端</t>
        </is>
      </c>
      <c r="E117" s="7" t="inlineStr">
        <is>
          <t>访客机自助登记、证件核验、凭证打印与二维码发放</t>
        </is>
      </c>
      <c r="F117" s="7" t="inlineStr">
        <is>
          <t>P1</t>
        </is>
      </c>
      <c r="G117" s="7" t="inlineStr">
        <is>
          <t>V1</t>
        </is>
      </c>
      <c r="H117" s="7" t="n">
        <v>15</v>
      </c>
      <c r="I117" s="7" t="n">
        <v>19</v>
      </c>
      <c r="J117" s="8" t="n">
        <v>22800</v>
      </c>
      <c r="K117" s="7" t="inlineStr">
        <is>
          <t>是</t>
        </is>
      </c>
    </row>
    <row r="118">
      <c r="A118" s="7" t="inlineStr">
        <is>
          <t>M11-117</t>
        </is>
      </c>
      <c r="B118" s="7" t="inlineStr">
        <is>
          <t>移动端与智能交互</t>
        </is>
      </c>
      <c r="C118" s="7" t="inlineStr">
        <is>
          <t>智能交互</t>
        </is>
      </c>
      <c r="D118" s="7" t="inlineStr">
        <is>
          <t>校园导览与信息发布大屏</t>
        </is>
      </c>
      <c r="E118" s="7" t="inlineStr">
        <is>
          <t>校门与大厅信息发布、访客引导、安全宣传与通知播报</t>
        </is>
      </c>
      <c r="F118" s="7" t="inlineStr">
        <is>
          <t>P2</t>
        </is>
      </c>
      <c r="G118" s="7" t="inlineStr">
        <is>
          <t>V3</t>
        </is>
      </c>
      <c r="H118" s="7" t="n">
        <v>13</v>
      </c>
      <c r="I118" s="7" t="n">
        <v>16</v>
      </c>
      <c r="J118" s="8" t="n">
        <v>19200</v>
      </c>
      <c r="K118" s="7" t="inlineStr">
        <is>
          <t>部分</t>
        </is>
      </c>
    </row>
    <row r="119">
      <c r="A119" s="7" t="inlineStr">
        <is>
          <t>M11-118</t>
        </is>
      </c>
      <c r="B119" s="7" t="inlineStr">
        <is>
          <t>移动端与智能交互</t>
        </is>
      </c>
      <c r="C119" s="7" t="inlineStr">
        <is>
          <t>智能交互</t>
        </is>
      </c>
      <c r="D119" s="7" t="inlineStr">
        <is>
          <t>智能语音与问答助手</t>
        </is>
      </c>
      <c r="E119" s="7" t="inlineStr">
        <is>
          <t>面向师生家长的智能问答、办事指引（可选大模型能力）</t>
        </is>
      </c>
      <c r="F119" s="7" t="inlineStr">
        <is>
          <t>P3</t>
        </is>
      </c>
      <c r="G119" s="7" t="inlineStr">
        <is>
          <t>V3</t>
        </is>
      </c>
      <c r="H119" s="7" t="n">
        <v>15</v>
      </c>
      <c r="I119" s="7" t="n">
        <v>19</v>
      </c>
      <c r="J119" s="8" t="n">
        <v>22800</v>
      </c>
      <c r="K119" s="7" t="inlineStr">
        <is>
          <t>是</t>
        </is>
      </c>
    </row>
    <row r="120">
      <c r="A120" s="7" t="inlineStr">
        <is>
          <t>M11-119</t>
        </is>
      </c>
      <c r="B120" s="7" t="inlineStr">
        <is>
          <t>移动端与智能交互</t>
        </is>
      </c>
      <c r="C120" s="7" t="inlineStr">
        <is>
          <t>统一门户</t>
        </is>
      </c>
      <c r="D120" s="7" t="inlineStr">
        <is>
          <t>统一门户与单点登录</t>
        </is>
      </c>
      <c r="E120" s="7" t="inlineStr">
        <is>
          <t>PC/移动统一门户、单点登录、待办聚合与个性化工作台</t>
        </is>
      </c>
      <c r="F120" s="7" t="inlineStr">
        <is>
          <t>P0</t>
        </is>
      </c>
      <c r="G120" s="7" t="inlineStr">
        <is>
          <t>V1</t>
        </is>
      </c>
      <c r="H120" s="7" t="n">
        <v>8</v>
      </c>
      <c r="I120" s="7" t="n">
        <v>10</v>
      </c>
      <c r="J120" s="8" t="n">
        <v>12000</v>
      </c>
      <c r="K120" s="7" t="inlineStr">
        <is>
          <t>否</t>
        </is>
      </c>
    </row>
    <row r="121">
      <c r="A121" s="7" t="inlineStr">
        <is>
          <t>M12-120</t>
        </is>
      </c>
      <c r="B121" s="7" t="inlineStr">
        <is>
          <t>平台与技术底座</t>
        </is>
      </c>
      <c r="C121" s="7" t="inlineStr">
        <is>
          <t>设备接入</t>
        </is>
      </c>
      <c r="D121" s="7" t="inlineStr">
        <is>
          <t>IoT 设备接入与管理平台</t>
        </is>
      </c>
      <c r="E121" s="7" t="inlineStr">
        <is>
          <t>设备模型、协议适配（MQTT/Modbus/HTTP）、在线状态与远程运维</t>
        </is>
      </c>
      <c r="F121" s="7" t="inlineStr">
        <is>
          <t>P0</t>
        </is>
      </c>
      <c r="G121" s="7" t="inlineStr">
        <is>
          <t>MVP</t>
        </is>
      </c>
      <c r="H121" s="7" t="n">
        <v>8</v>
      </c>
      <c r="I121" s="7" t="n">
        <v>11</v>
      </c>
      <c r="J121" s="8" t="n">
        <v>13200</v>
      </c>
      <c r="K121" s="7" t="inlineStr">
        <is>
          <t>否</t>
        </is>
      </c>
    </row>
    <row r="122">
      <c r="A122" s="7" t="inlineStr">
        <is>
          <t>M12-121</t>
        </is>
      </c>
      <c r="B122" s="7" t="inlineStr">
        <is>
          <t>平台与技术底座</t>
        </is>
      </c>
      <c r="C122" s="7" t="inlineStr">
        <is>
          <t>设备接入</t>
        </is>
      </c>
      <c r="D122" s="7" t="inlineStr">
        <is>
          <t>视频接入网关与流媒体服务</t>
        </is>
      </c>
      <c r="E122" s="7" t="inlineStr">
        <is>
          <t>GB28181/ONVIF/RTSP 接入、转码分发、录像计划管理</t>
        </is>
      </c>
      <c r="F122" s="7" t="inlineStr">
        <is>
          <t>P0</t>
        </is>
      </c>
      <c r="G122" s="7" t="inlineStr">
        <is>
          <t>MVP</t>
        </is>
      </c>
      <c r="H122" s="7" t="n">
        <v>15</v>
      </c>
      <c r="I122" s="7" t="n">
        <v>21</v>
      </c>
      <c r="J122" s="8" t="n">
        <v>25200</v>
      </c>
      <c r="K122" s="7" t="inlineStr">
        <is>
          <t>是</t>
        </is>
      </c>
    </row>
    <row r="123">
      <c r="A123" s="7" t="inlineStr">
        <is>
          <t>M12-122</t>
        </is>
      </c>
      <c r="B123" s="7" t="inlineStr">
        <is>
          <t>平台与技术底座</t>
        </is>
      </c>
      <c r="C123" s="7" t="inlineStr">
        <is>
          <t>业务引擎</t>
        </is>
      </c>
      <c r="D123" s="7" t="inlineStr">
        <is>
          <t>规则引擎与联动策略</t>
        </is>
      </c>
      <c r="E123" s="7" t="inlineStr">
        <is>
          <t>可视化配置触发条件与动作（通知、开门、抓拍、派单）</t>
        </is>
      </c>
      <c r="F123" s="7" t="inlineStr">
        <is>
          <t>P0</t>
        </is>
      </c>
      <c r="G123" s="7" t="inlineStr">
        <is>
          <t>V1</t>
        </is>
      </c>
      <c r="H123" s="7" t="n">
        <v>13</v>
      </c>
      <c r="I123" s="7" t="n">
        <v>16</v>
      </c>
      <c r="J123" s="8" t="n">
        <v>19200</v>
      </c>
      <c r="K123" s="7" t="inlineStr">
        <is>
          <t>部分</t>
        </is>
      </c>
    </row>
    <row r="124">
      <c r="A124" s="7" t="inlineStr">
        <is>
          <t>M12-123</t>
        </is>
      </c>
      <c r="B124" s="7" t="inlineStr">
        <is>
          <t>平台与技术底座</t>
        </is>
      </c>
      <c r="C124" s="7" t="inlineStr">
        <is>
          <t>业务引擎</t>
        </is>
      </c>
      <c r="D124" s="7" t="inlineStr">
        <is>
          <t>统一消息通知中心</t>
        </is>
      </c>
      <c r="E124" s="7" t="inlineStr">
        <is>
          <t>短信、微信、APP 推送、语音、大屏播报的统一通道与失败重试</t>
        </is>
      </c>
      <c r="F124" s="7" t="inlineStr">
        <is>
          <t>P0</t>
        </is>
      </c>
      <c r="G124" s="7" t="inlineStr">
        <is>
          <t>V1</t>
        </is>
      </c>
      <c r="H124" s="7" t="n">
        <v>13</v>
      </c>
      <c r="I124" s="7" t="n">
        <v>16</v>
      </c>
      <c r="J124" s="8" t="n">
        <v>19200</v>
      </c>
      <c r="K124" s="7" t="inlineStr">
        <is>
          <t>部分</t>
        </is>
      </c>
    </row>
    <row r="125">
      <c r="A125" s="7" t="inlineStr">
        <is>
          <t>M12-124</t>
        </is>
      </c>
      <c r="B125" s="7" t="inlineStr">
        <is>
          <t>平台与技术底座</t>
        </is>
      </c>
      <c r="C125" s="7" t="inlineStr">
        <is>
          <t>业务引擎</t>
        </is>
      </c>
      <c r="D125" s="7" t="inlineStr">
        <is>
          <t>工作流与表单引擎</t>
        </is>
      </c>
      <c r="E125" s="7" t="inlineStr">
        <is>
          <t>审批流程、表单、字段权限的可配置化，无需二次开发</t>
        </is>
      </c>
      <c r="F125" s="7" t="inlineStr">
        <is>
          <t>P0</t>
        </is>
      </c>
      <c r="G125" s="7" t="inlineStr">
        <is>
          <t>V1</t>
        </is>
      </c>
      <c r="H125" s="7" t="n">
        <v>13</v>
      </c>
      <c r="I125" s="7" t="n">
        <v>16</v>
      </c>
      <c r="J125" s="8" t="n">
        <v>19200</v>
      </c>
      <c r="K125" s="7" t="inlineStr">
        <is>
          <t>部分</t>
        </is>
      </c>
    </row>
    <row r="126">
      <c r="A126" s="7" t="inlineStr">
        <is>
          <t>M12-125</t>
        </is>
      </c>
      <c r="B126" s="7" t="inlineStr">
        <is>
          <t>平台与技术底座</t>
        </is>
      </c>
      <c r="C126" s="7" t="inlineStr">
        <is>
          <t>平台能力</t>
        </is>
      </c>
      <c r="D126" s="7" t="inlineStr">
        <is>
          <t>低代码配置与多校区适配</t>
        </is>
      </c>
      <c r="E126" s="7" t="inlineStr">
        <is>
          <t>校徽校名、业务流程、报表模板的可配置，支持多校区与多租户</t>
        </is>
      </c>
      <c r="F126" s="7" t="inlineStr">
        <is>
          <t>P1</t>
        </is>
      </c>
      <c r="G126" s="7" t="inlineStr">
        <is>
          <t>V2</t>
        </is>
      </c>
      <c r="H126" s="7" t="n">
        <v>13</v>
      </c>
      <c r="I126" s="7" t="n">
        <v>16</v>
      </c>
      <c r="J126" s="8" t="n">
        <v>19200</v>
      </c>
      <c r="K126" s="7" t="inlineStr">
        <is>
          <t>部分</t>
        </is>
      </c>
    </row>
    <row r="127">
      <c r="A127" s="7" t="inlineStr">
        <is>
          <t>M12-126</t>
        </is>
      </c>
      <c r="B127" s="7" t="inlineStr">
        <is>
          <t>平台与技术底座</t>
        </is>
      </c>
      <c r="C127" s="7" t="inlineStr">
        <is>
          <t>平台能力</t>
        </is>
      </c>
      <c r="D127" s="7" t="inlineStr">
        <is>
          <t>开放接口与生态集成</t>
        </is>
      </c>
      <c r="E127" s="7" t="inlineStr">
        <is>
          <t>开放 API、Webhook、数据订阅，支持第三方系统集成与生态共建</t>
        </is>
      </c>
      <c r="F127" s="7" t="inlineStr">
        <is>
          <t>P1</t>
        </is>
      </c>
      <c r="G127" s="7" t="inlineStr">
        <is>
          <t>V2</t>
        </is>
      </c>
      <c r="H127" s="7" t="n">
        <v>13</v>
      </c>
      <c r="I127" s="7" t="n">
        <v>16</v>
      </c>
      <c r="J127" s="8" t="n">
        <v>19200</v>
      </c>
      <c r="K127" s="7" t="inlineStr">
        <is>
          <t>部分</t>
        </is>
      </c>
    </row>
    <row r="128">
      <c r="A128" s="7" t="inlineStr">
        <is>
          <t>M12-127</t>
        </is>
      </c>
      <c r="B128" s="7" t="inlineStr">
        <is>
          <t>平台与技术底座</t>
        </is>
      </c>
      <c r="C128" s="7" t="inlineStr">
        <is>
          <t>交付运维</t>
        </is>
      </c>
      <c r="D128" s="7" t="inlineStr">
        <is>
          <t>灰度发布与版本管理</t>
        </is>
      </c>
      <c r="E128" s="7" t="inlineStr">
        <is>
          <t>按学校/校区灰度升级、版本回滚、配置备份与迁移</t>
        </is>
      </c>
      <c r="F128" s="7" t="inlineStr">
        <is>
          <t>P2</t>
        </is>
      </c>
      <c r="G128" s="7" t="inlineStr">
        <is>
          <t>V2</t>
        </is>
      </c>
      <c r="H128" s="7" t="n">
        <v>8</v>
      </c>
      <c r="I128" s="7" t="n">
        <v>10</v>
      </c>
      <c r="J128" s="8" t="n">
        <v>12000</v>
      </c>
      <c r="K128" s="7" t="inlineStr">
        <is>
          <t>否</t>
        </is>
      </c>
    </row>
    <row r="129">
      <c r="A129" s="7" t="inlineStr">
        <is>
          <t>M12-128</t>
        </is>
      </c>
      <c r="B129" s="7" t="inlineStr">
        <is>
          <t>平台与技术底座</t>
        </is>
      </c>
      <c r="C129" s="7" t="inlineStr">
        <is>
          <t>交付运维</t>
        </is>
      </c>
      <c r="D129" s="7" t="inlineStr">
        <is>
          <t>运维监控与健康巡检</t>
        </is>
      </c>
      <c r="E129" s="7" t="inlineStr">
        <is>
          <t>服务健康度、接口时延、设备在线率、存储余量监控与告警</t>
        </is>
      </c>
      <c r="F129" s="7" t="inlineStr">
        <is>
          <t>P1</t>
        </is>
      </c>
      <c r="G129" s="7" t="inlineStr">
        <is>
          <t>V1</t>
        </is>
      </c>
      <c r="H129" s="7" t="n">
        <v>8</v>
      </c>
      <c r="I129" s="7" t="n">
        <v>10</v>
      </c>
      <c r="J129" s="8" t="n">
        <v>12000</v>
      </c>
      <c r="K129" s="7" t="inlineStr">
        <is>
          <t>否</t>
        </is>
      </c>
    </row>
    <row r="130">
      <c r="A130" s="7" t="inlineStr">
        <is>
          <t>M12-129</t>
        </is>
      </c>
      <c r="B130" s="7" t="inlineStr">
        <is>
          <t>平台与技术底座</t>
        </is>
      </c>
      <c r="C130" s="7" t="inlineStr">
        <is>
          <t>平台能力</t>
        </is>
      </c>
      <c r="D130" s="7" t="inlineStr">
        <is>
          <t>系统管理与基础配置</t>
        </is>
      </c>
      <c r="E130" s="7" t="inlineStr">
        <is>
          <t>参数配置、字典管理、通知模板、节假日与作息时间表管理</t>
        </is>
      </c>
      <c r="F130" s="7" t="inlineStr">
        <is>
          <t>P0</t>
        </is>
      </c>
      <c r="G130" s="7" t="inlineStr">
        <is>
          <t>MVP</t>
        </is>
      </c>
      <c r="H130" s="7" t="n">
        <v>8</v>
      </c>
      <c r="I130" s="7" t="n">
        <v>11</v>
      </c>
      <c r="J130" s="8" t="n">
        <v>13200</v>
      </c>
      <c r="K130" s="7" t="inlineStr">
        <is>
          <t>否</t>
        </is>
      </c>
    </row>
    <row r="131">
      <c r="A131" s="7" t="inlineStr">
        <is>
          <t>M12-130</t>
        </is>
      </c>
      <c r="B131" s="7" t="inlineStr">
        <is>
          <t>平台与技术底座</t>
        </is>
      </c>
      <c r="C131" s="7" t="inlineStr">
        <is>
          <t>交付运维</t>
        </is>
      </c>
      <c r="D131" s="7" t="inlineStr">
        <is>
          <t>安装部署与升级工具</t>
        </is>
      </c>
      <c r="E131" s="7" t="inlineStr">
        <is>
          <t>一键部署脚本、离线安装包、数据库升级与迁移工具</t>
        </is>
      </c>
      <c r="F131" s="7" t="inlineStr">
        <is>
          <t>P0</t>
        </is>
      </c>
      <c r="G131" s="7" t="inlineStr">
        <is>
          <t>MVP</t>
        </is>
      </c>
      <c r="H131" s="7" t="n">
        <v>8</v>
      </c>
      <c r="I131" s="7" t="n">
        <v>11</v>
      </c>
      <c r="J131" s="8" t="n">
        <v>13200</v>
      </c>
      <c r="K131" s="7" t="inlineStr">
        <is>
          <t>否</t>
        </is>
      </c>
    </row>
    <row r="132">
      <c r="A132" s="7" t="inlineStr">
        <is>
          <t>M12-131</t>
        </is>
      </c>
      <c r="B132" s="7" t="inlineStr">
        <is>
          <t>平台与技术底座</t>
        </is>
      </c>
      <c r="C132" s="7" t="inlineStr">
        <is>
          <t>平台能力</t>
        </is>
      </c>
      <c r="D132" s="7" t="inlineStr">
        <is>
          <t>接口自动化测试与回归</t>
        </is>
      </c>
      <c r="E132" s="7" t="inlineStr">
        <is>
          <t>核心接口自动化用例与回归测试，保障版本迭代质量</t>
        </is>
      </c>
      <c r="F132" s="7" t="inlineStr">
        <is>
          <t>P1</t>
        </is>
      </c>
      <c r="G132" s="7" t="inlineStr">
        <is>
          <t>V2</t>
        </is>
      </c>
      <c r="H132" s="7" t="n">
        <v>8</v>
      </c>
      <c r="I132" s="7" t="n">
        <v>10</v>
      </c>
      <c r="J132" s="8" t="n">
        <v>12000</v>
      </c>
      <c r="K132" s="7" t="inlineStr">
        <is>
          <t>否</t>
        </is>
      </c>
    </row>
  </sheetData>
  <autoFilter ref="A1:K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优先级 × 交付批次 分布矩阵</t>
        </is>
      </c>
    </row>
    <row r="2" ht="16" customHeight="1">
      <c r="A2" s="2" t="inlineStr">
        <is>
          <t>用于判断“先做什么”：P0 优先保障，P3 视资源投入</t>
        </is>
      </c>
    </row>
    <row r="4">
      <c r="A4" s="13" t="inlineStr">
        <is>
          <t>优先级 \ 批次</t>
        </is>
      </c>
      <c r="B4" s="13" t="inlineStr">
        <is>
          <t>MVP</t>
        </is>
      </c>
      <c r="C4" s="13" t="inlineStr">
        <is>
          <t>V1</t>
        </is>
      </c>
      <c r="D4" s="13" t="inlineStr">
        <is>
          <t>V2</t>
        </is>
      </c>
      <c r="E4" s="13" t="inlineStr">
        <is>
          <t>V3</t>
        </is>
      </c>
      <c r="F4" s="13" t="inlineStr">
        <is>
          <t>合计</t>
        </is>
      </c>
      <c r="G4" s="7" t="n"/>
    </row>
    <row r="5">
      <c r="A5" s="7" t="inlineStr">
        <is>
          <t>P0</t>
        </is>
      </c>
      <c r="B5" s="7" t="n">
        <v>31</v>
      </c>
      <c r="C5" s="7" t="n">
        <v>17</v>
      </c>
      <c r="D5" s="7" t="inlineStr">
        <is>
          <t>—</t>
        </is>
      </c>
      <c r="E5" s="7" t="inlineStr">
        <is>
          <t>—</t>
        </is>
      </c>
      <c r="F5" s="7" t="n">
        <v>48</v>
      </c>
      <c r="G5" s="7" t="n"/>
    </row>
    <row r="6">
      <c r="A6" s="7" t="inlineStr">
        <is>
          <t>P1</t>
        </is>
      </c>
      <c r="B6" s="7" t="inlineStr">
        <is>
          <t>—</t>
        </is>
      </c>
      <c r="C6" s="7" t="n">
        <v>27</v>
      </c>
      <c r="D6" s="7" t="n">
        <v>16</v>
      </c>
      <c r="E6" s="7" t="n">
        <v>1</v>
      </c>
      <c r="F6" s="7" t="n">
        <v>44</v>
      </c>
      <c r="G6" s="7" t="n"/>
    </row>
    <row r="7">
      <c r="A7" s="7" t="inlineStr">
        <is>
          <t>P2</t>
        </is>
      </c>
      <c r="B7" s="7" t="inlineStr">
        <is>
          <t>—</t>
        </is>
      </c>
      <c r="C7" s="7" t="inlineStr">
        <is>
          <t>—</t>
        </is>
      </c>
      <c r="D7" s="7" t="n">
        <v>22</v>
      </c>
      <c r="E7" s="7" t="n">
        <v>7</v>
      </c>
      <c r="F7" s="7" t="n">
        <v>29</v>
      </c>
      <c r="G7" s="7" t="n"/>
    </row>
    <row r="8">
      <c r="A8" s="7" t="inlineStr">
        <is>
          <t>P3</t>
        </is>
      </c>
      <c r="B8" s="7" t="inlineStr">
        <is>
          <t>—</t>
        </is>
      </c>
      <c r="C8" s="7" t="inlineStr">
        <is>
          <t>—</t>
        </is>
      </c>
      <c r="D8" s="7" t="inlineStr">
        <is>
          <t>—</t>
        </is>
      </c>
      <c r="E8" s="7" t="n">
        <v>10</v>
      </c>
      <c r="F8" s="7" t="n">
        <v>10</v>
      </c>
      <c r="G8" s="7" t="n"/>
    </row>
    <row r="9">
      <c r="A9" s="7" t="inlineStr">
        <is>
          <t>合计</t>
        </is>
      </c>
      <c r="B9" s="7" t="n">
        <v>31</v>
      </c>
      <c r="C9" s="7" t="n">
        <v>44</v>
      </c>
      <c r="D9" s="7" t="n">
        <v>38</v>
      </c>
      <c r="E9" s="7" t="n">
        <v>18</v>
      </c>
      <c r="F9" s="7" t="n">
        <v>131</v>
      </c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inlineStr">
        <is>
          <t>按工程量（人天）</t>
        </is>
      </c>
      <c r="B11" s="7" t="n"/>
      <c r="C11" s="7" t="n"/>
      <c r="D11" s="7" t="n"/>
      <c r="E11" s="7" t="n"/>
      <c r="F11" s="7" t="n"/>
      <c r="G11" s="7" t="n"/>
    </row>
    <row r="12">
      <c r="A12" s="13" t="inlineStr">
        <is>
          <t>优先级 \ 批次</t>
        </is>
      </c>
      <c r="B12" s="13" t="inlineStr">
        <is>
          <t>MVP</t>
        </is>
      </c>
      <c r="C12" s="13" t="inlineStr">
        <is>
          <t>V1</t>
        </is>
      </c>
      <c r="D12" s="13" t="inlineStr">
        <is>
          <t>V2</t>
        </is>
      </c>
      <c r="E12" s="13" t="inlineStr">
        <is>
          <t>V3</t>
        </is>
      </c>
      <c r="F12" s="13" t="inlineStr">
        <is>
          <t>合计</t>
        </is>
      </c>
      <c r="G12" s="7" t="n"/>
    </row>
    <row r="13">
      <c r="A13" s="7" t="inlineStr">
        <is>
          <t>P0</t>
        </is>
      </c>
      <c r="B13" s="7" t="n">
        <v>479</v>
      </c>
      <c r="C13" s="7" t="n">
        <v>223</v>
      </c>
      <c r="D13" s="7" t="n">
        <v>0</v>
      </c>
      <c r="E13" s="7" t="n">
        <v>0</v>
      </c>
      <c r="F13" s="7" t="n">
        <v>702</v>
      </c>
      <c r="G13" s="7" t="n"/>
    </row>
    <row r="14">
      <c r="A14" s="7" t="inlineStr">
        <is>
          <t>P1</t>
        </is>
      </c>
      <c r="B14" s="7" t="n">
        <v>0</v>
      </c>
      <c r="C14" s="7" t="n">
        <v>337</v>
      </c>
      <c r="D14" s="7" t="n">
        <v>198</v>
      </c>
      <c r="E14" s="7" t="n">
        <v>19</v>
      </c>
      <c r="F14" s="7" t="n">
        <v>554</v>
      </c>
      <c r="G14" s="7" t="n"/>
    </row>
    <row r="15">
      <c r="A15" s="7" t="inlineStr">
        <is>
          <t>P2</t>
        </is>
      </c>
      <c r="B15" s="7" t="n">
        <v>0</v>
      </c>
      <c r="C15" s="7" t="n">
        <v>0</v>
      </c>
      <c r="D15" s="7" t="n">
        <v>257</v>
      </c>
      <c r="E15" s="7" t="n">
        <v>68</v>
      </c>
      <c r="F15" s="7" t="n">
        <v>325</v>
      </c>
      <c r="G15" s="7" t="n"/>
    </row>
    <row r="16">
      <c r="A16" s="7" t="inlineStr">
        <is>
          <t>P3</t>
        </is>
      </c>
      <c r="B16" s="7" t="n">
        <v>0</v>
      </c>
      <c r="C16" s="7" t="n">
        <v>0</v>
      </c>
      <c r="D16" s="7" t="n">
        <v>0</v>
      </c>
      <c r="E16" s="7" t="n">
        <v>124</v>
      </c>
      <c r="F16" s="7" t="n">
        <v>124</v>
      </c>
      <c r="G16" s="7" t="n"/>
    </row>
    <row r="17">
      <c r="A17" s="7" t="inlineStr">
        <is>
          <t>合计</t>
        </is>
      </c>
      <c r="B17" s="7" t="n">
        <v>479</v>
      </c>
      <c r="C17" s="7" t="n">
        <v>560</v>
      </c>
      <c r="D17" s="7" t="n">
        <v>455</v>
      </c>
      <c r="E17" s="7" t="n">
        <v>211</v>
      </c>
      <c r="F17" s="7" t="n">
        <v>1705</v>
      </c>
      <c r="G17" s="7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16" customWidth="1" min="10" max="10"/>
  </cols>
  <sheetData>
    <row r="1">
      <c r="A1" s="12" t="inlineStr">
        <is>
          <t>模块编号</t>
        </is>
      </c>
      <c r="B1" s="12" t="inlineStr">
        <is>
          <t>一级模块</t>
        </is>
      </c>
      <c r="C1" s="12" t="inlineStr">
        <is>
          <t>模块定位</t>
        </is>
      </c>
      <c r="D1" s="12" t="inlineStr">
        <is>
          <t>功能项数</t>
        </is>
      </c>
      <c r="E1" s="12" t="inlineStr">
        <is>
          <t>MVP</t>
        </is>
      </c>
      <c r="F1" s="12" t="inlineStr">
        <is>
          <t>V1</t>
        </is>
      </c>
      <c r="G1" s="12" t="inlineStr">
        <is>
          <t>V2</t>
        </is>
      </c>
      <c r="H1" s="12" t="inlineStr">
        <is>
          <t>V3</t>
        </is>
      </c>
      <c r="I1" s="12" t="inlineStr">
        <is>
          <t>工程量(人天)</t>
        </is>
      </c>
      <c r="J1" s="12" t="inlineStr">
        <is>
          <t>人力成本(元)</t>
        </is>
      </c>
    </row>
    <row r="2">
      <c r="A2" s="7" t="inlineStr">
        <is>
          <t>M01</t>
        </is>
      </c>
      <c r="B2" s="7" t="inlineStr">
        <is>
          <t>人员与组织管理</t>
        </is>
      </c>
      <c r="C2" s="7" t="inlineStr">
        <is>
          <t>统一身份与组织底座，一切业务的前置依赖</t>
        </is>
      </c>
      <c r="D2" s="7" t="n">
        <v>15</v>
      </c>
      <c r="E2" s="7" t="n">
        <v>6</v>
      </c>
      <c r="F2" s="7" t="n">
        <v>7</v>
      </c>
      <c r="G2" s="7" t="n">
        <v>2</v>
      </c>
      <c r="H2" s="7" t="n">
        <v>0</v>
      </c>
      <c r="I2" s="7" t="n">
        <v>165</v>
      </c>
      <c r="J2" s="8" t="n">
        <v>198000</v>
      </c>
    </row>
    <row r="3">
      <c r="A3" s="7" t="inlineStr">
        <is>
          <t>M02</t>
        </is>
      </c>
      <c r="B3" s="7" t="inlineStr">
        <is>
          <t>通行与门禁管理</t>
        </is>
      </c>
      <c r="C3" s="7" t="inlineStr">
        <is>
          <t>校园出入口与楼宇门禁的统一管控</t>
        </is>
      </c>
      <c r="D3" s="7" t="n">
        <v>16</v>
      </c>
      <c r="E3" s="7" t="n">
        <v>9</v>
      </c>
      <c r="F3" s="7" t="n">
        <v>6</v>
      </c>
      <c r="G3" s="7" t="n">
        <v>1</v>
      </c>
      <c r="H3" s="7" t="n">
        <v>0</v>
      </c>
      <c r="I3" s="7" t="n">
        <v>239</v>
      </c>
      <c r="J3" s="8" t="n">
        <v>286800</v>
      </c>
    </row>
    <row r="4">
      <c r="A4" s="7" t="inlineStr">
        <is>
          <t>M03</t>
        </is>
      </c>
      <c r="B4" s="7" t="inlineStr">
        <is>
          <t>车辆管理</t>
        </is>
      </c>
      <c r="C4" s="7" t="inlineStr">
        <is>
          <t>校门车辆通行、停放与外来临停管控</t>
        </is>
      </c>
      <c r="D4" s="7" t="n">
        <v>11</v>
      </c>
      <c r="E4" s="7" t="n">
        <v>0</v>
      </c>
      <c r="F4" s="7" t="n">
        <v>4</v>
      </c>
      <c r="G4" s="7" t="n">
        <v>5</v>
      </c>
      <c r="H4" s="7" t="n">
        <v>2</v>
      </c>
      <c r="I4" s="7" t="n">
        <v>122</v>
      </c>
      <c r="J4" s="8" t="n">
        <v>146400</v>
      </c>
    </row>
    <row r="5">
      <c r="A5" s="7" t="inlineStr">
        <is>
          <t>M04</t>
        </is>
      </c>
      <c r="B5" s="7" t="inlineStr">
        <is>
          <t>宿舍归寝管理</t>
        </is>
      </c>
      <c r="C5" s="7" t="inlineStr">
        <is>
          <t>中职学校安全管理的刚性需求</t>
        </is>
      </c>
      <c r="D5" s="7" t="n">
        <v>9</v>
      </c>
      <c r="E5" s="7" t="n">
        <v>0</v>
      </c>
      <c r="F5" s="7" t="n">
        <v>6</v>
      </c>
      <c r="G5" s="7" t="n">
        <v>3</v>
      </c>
      <c r="H5" s="7" t="n">
        <v>0</v>
      </c>
      <c r="I5" s="7" t="n">
        <v>110</v>
      </c>
      <c r="J5" s="8" t="n">
        <v>132000</v>
      </c>
    </row>
    <row r="6">
      <c r="A6" s="7" t="inlineStr">
        <is>
          <t>M05</t>
        </is>
      </c>
      <c r="B6" s="7" t="inlineStr">
        <is>
          <t>安防监控与应急</t>
        </is>
      </c>
      <c r="C6" s="7" t="inlineStr">
        <is>
          <t>AI 视觉核心亮点与事件闭环</t>
        </is>
      </c>
      <c r="D6" s="7" t="n">
        <v>17</v>
      </c>
      <c r="E6" s="7" t="n">
        <v>6</v>
      </c>
      <c r="F6" s="7" t="n">
        <v>4</v>
      </c>
      <c r="G6" s="7" t="n">
        <v>5</v>
      </c>
      <c r="H6" s="7" t="n">
        <v>2</v>
      </c>
      <c r="I6" s="7" t="n">
        <v>277</v>
      </c>
      <c r="J6" s="8" t="n">
        <v>332400</v>
      </c>
    </row>
    <row r="7">
      <c r="A7" s="7" t="inlineStr">
        <is>
          <t>M06</t>
        </is>
      </c>
      <c r="B7" s="7" t="inlineStr">
        <is>
          <t>教学与办公协同</t>
        </is>
      </c>
      <c r="C7" s="7" t="inlineStr">
        <is>
          <t>考勤、审批、通知等日常高频业务</t>
        </is>
      </c>
      <c r="D7" s="7" t="n">
        <v>9</v>
      </c>
      <c r="E7" s="7" t="n">
        <v>2</v>
      </c>
      <c r="F7" s="7" t="n">
        <v>4</v>
      </c>
      <c r="G7" s="7" t="n">
        <v>3</v>
      </c>
      <c r="H7" s="7" t="n">
        <v>0</v>
      </c>
      <c r="I7" s="7" t="n">
        <v>108</v>
      </c>
      <c r="J7" s="8" t="n">
        <v>129600</v>
      </c>
    </row>
    <row r="8">
      <c r="A8" s="7" t="inlineStr">
        <is>
          <t>M07</t>
        </is>
      </c>
      <c r="B8" s="7" t="inlineStr">
        <is>
          <t>生活服务与一卡通</t>
        </is>
      </c>
      <c r="C8" s="7" t="inlineStr">
        <is>
          <t>食堂消费、水电控与校园支付</t>
        </is>
      </c>
      <c r="D8" s="7" t="n">
        <v>10</v>
      </c>
      <c r="E8" s="7" t="n">
        <v>0</v>
      </c>
      <c r="F8" s="7" t="n">
        <v>0</v>
      </c>
      <c r="G8" s="7" t="n">
        <v>4</v>
      </c>
      <c r="H8" s="7" t="n">
        <v>6</v>
      </c>
      <c r="I8" s="7" t="n">
        <v>114</v>
      </c>
      <c r="J8" s="8" t="n">
        <v>136800</v>
      </c>
    </row>
    <row r="9">
      <c r="A9" s="7" t="inlineStr">
        <is>
          <t>M08</t>
        </is>
      </c>
      <c r="B9" s="7" t="inlineStr">
        <is>
          <t>能源与设施设备管理</t>
        </is>
      </c>
      <c r="C9" s="7" t="inlineStr">
        <is>
          <t>能耗监测、报修与设备全生命周期</t>
        </is>
      </c>
      <c r="D9" s="7" t="n">
        <v>9</v>
      </c>
      <c r="E9" s="7" t="n">
        <v>0</v>
      </c>
      <c r="F9" s="7" t="n">
        <v>1</v>
      </c>
      <c r="G9" s="7" t="n">
        <v>5</v>
      </c>
      <c r="H9" s="7" t="n">
        <v>3</v>
      </c>
      <c r="I9" s="7" t="n">
        <v>98</v>
      </c>
      <c r="J9" s="8" t="n">
        <v>117600</v>
      </c>
    </row>
    <row r="10">
      <c r="A10" s="7" t="inlineStr">
        <is>
          <t>M09</t>
        </is>
      </c>
      <c r="B10" s="7" t="inlineStr">
        <is>
          <t>数据与决策分析</t>
        </is>
      </c>
      <c r="C10" s="7" t="inlineStr">
        <is>
          <t>驾驶舱、报表与数据上报</t>
        </is>
      </c>
      <c r="D10" s="7" t="n">
        <v>7</v>
      </c>
      <c r="E10" s="7" t="n">
        <v>0</v>
      </c>
      <c r="F10" s="7" t="n">
        <v>2</v>
      </c>
      <c r="G10" s="7" t="n">
        <v>2</v>
      </c>
      <c r="H10" s="7" t="n">
        <v>3</v>
      </c>
      <c r="I10" s="7" t="n">
        <v>94</v>
      </c>
      <c r="J10" s="8" t="n">
        <v>112800</v>
      </c>
    </row>
    <row r="11">
      <c r="A11" s="7" t="inlineStr">
        <is>
          <t>M10</t>
        </is>
      </c>
      <c r="B11" s="7" t="inlineStr">
        <is>
          <t>安全与合规</t>
        </is>
      </c>
      <c r="C11" s="7" t="inlineStr">
        <is>
          <t>等保、个人信息保护与数据安全</t>
        </is>
      </c>
      <c r="D11" s="7" t="n">
        <v>8</v>
      </c>
      <c r="E11" s="7" t="n">
        <v>4</v>
      </c>
      <c r="F11" s="7" t="n">
        <v>2</v>
      </c>
      <c r="G11" s="7" t="n">
        <v>2</v>
      </c>
      <c r="H11" s="7" t="n">
        <v>0</v>
      </c>
      <c r="I11" s="7" t="n">
        <v>112</v>
      </c>
      <c r="J11" s="8" t="n">
        <v>134400</v>
      </c>
    </row>
    <row r="12">
      <c r="A12" s="7" t="inlineStr">
        <is>
          <t>M11</t>
        </is>
      </c>
      <c r="B12" s="7" t="inlineStr">
        <is>
          <t>移动端与智能交互</t>
        </is>
      </c>
      <c r="C12" s="7" t="inlineStr">
        <is>
          <t>小程序、自助终端与统一门户</t>
        </is>
      </c>
      <c r="D12" s="7" t="n">
        <v>8</v>
      </c>
      <c r="E12" s="7" t="n">
        <v>0</v>
      </c>
      <c r="F12" s="7" t="n">
        <v>4</v>
      </c>
      <c r="G12" s="7" t="n">
        <v>2</v>
      </c>
      <c r="H12" s="7" t="n">
        <v>2</v>
      </c>
      <c r="I12" s="7" t="n">
        <v>102</v>
      </c>
      <c r="J12" s="8" t="n">
        <v>122400</v>
      </c>
    </row>
    <row r="13">
      <c r="A13" s="7" t="inlineStr">
        <is>
          <t>M12</t>
        </is>
      </c>
      <c r="B13" s="7" t="inlineStr">
        <is>
          <t>平台与技术底座</t>
        </is>
      </c>
      <c r="C13" s="7" t="inlineStr">
        <is>
          <t>IoT 接入、规则引擎、工作流与开放接口</t>
        </is>
      </c>
      <c r="D13" s="7" t="n">
        <v>12</v>
      </c>
      <c r="E13" s="7" t="n">
        <v>4</v>
      </c>
      <c r="F13" s="7" t="n">
        <v>4</v>
      </c>
      <c r="G13" s="7" t="n">
        <v>4</v>
      </c>
      <c r="H13" s="7" t="n">
        <v>0</v>
      </c>
      <c r="I13" s="7" t="n">
        <v>164</v>
      </c>
      <c r="J13" s="8" t="n">
        <v>196800</v>
      </c>
    </row>
    <row r="14">
      <c r="A14" s="14" t="inlineStr">
        <is>
          <t>合计</t>
        </is>
      </c>
      <c r="B14" s="14" t="inlineStr"/>
      <c r="C14" s="14" t="inlineStr"/>
      <c r="D14" s="14" t="n">
        <v>131</v>
      </c>
      <c r="E14" s="14" t="n">
        <v>31</v>
      </c>
      <c r="F14" s="14" t="n">
        <v>44</v>
      </c>
      <c r="G14" s="14" t="n">
        <v>38</v>
      </c>
      <c r="H14" s="14" t="n">
        <v>18</v>
      </c>
      <c r="I14" s="14" t="n">
        <v>1705</v>
      </c>
      <c r="J14" s="15" t="n">
        <v>2046000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46" customWidth="1" min="4" max="4"/>
    <col width="6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6" customWidth="1" min="12" max="12"/>
    <col width="16" customWidth="1" min="13" max="13"/>
  </cols>
  <sheetData>
    <row r="1" ht="30" customHeight="1">
      <c r="A1" s="1" t="inlineStr">
        <is>
          <t>硬件设备清单与投资估算（中等规模中职 · 单校区 3000—6000 人）</t>
        </is>
      </c>
    </row>
    <row r="2" ht="16" customHeight="1">
      <c r="A2" s="2" t="inlineStr">
        <is>
          <t>单价为 2026 年市场主流品牌公开报价区间中位值估算，实际采购以招标结果为准；金额单位：元（含税）；QTY 列为按阶段投放数量，可自行调整</t>
        </is>
      </c>
    </row>
    <row r="4">
      <c r="A4" s="12" t="inlineStr">
        <is>
          <t>序号</t>
        </is>
      </c>
      <c r="B4" s="12" t="inlineStr">
        <is>
          <t>类别</t>
        </is>
      </c>
      <c r="C4" s="12" t="inlineStr">
        <is>
          <t>设备/材料名称</t>
        </is>
      </c>
      <c r="D4" s="12" t="inlineStr">
        <is>
          <t>推荐规格要点</t>
        </is>
      </c>
      <c r="E4" s="12" t="inlineStr">
        <is>
          <t>单位</t>
        </is>
      </c>
      <c r="F4" s="12" t="inlineStr">
        <is>
          <t>总量</t>
        </is>
      </c>
      <c r="G4" s="12" t="inlineStr">
        <is>
          <t>MVP投放</t>
        </is>
      </c>
      <c r="H4" s="12" t="inlineStr">
        <is>
          <t>V1投放</t>
        </is>
      </c>
      <c r="I4" s="12" t="inlineStr">
        <is>
          <t>V2投放</t>
        </is>
      </c>
      <c r="J4" s="12" t="inlineStr">
        <is>
          <t>V3投放</t>
        </is>
      </c>
      <c r="K4" s="12" t="inlineStr">
        <is>
          <t>参考单价(元)</t>
        </is>
      </c>
      <c r="L4" s="12" t="inlineStr">
        <is>
          <t>小计(元)</t>
        </is>
      </c>
      <c r="M4" s="12" t="inlineStr">
        <is>
          <t>MVP阶段金额(元)</t>
        </is>
      </c>
    </row>
    <row r="5">
      <c r="A5" s="7" t="n">
        <v>1</v>
      </c>
      <c r="B5" s="7" t="inlineStr">
        <is>
          <t>出入口与门禁</t>
        </is>
      </c>
      <c r="C5" s="7" t="inlineStr">
        <is>
          <t>人脸识别门禁一体机</t>
        </is>
      </c>
      <c r="D5" s="7" t="inlineStr">
        <is>
          <t>8 英寸屏，人脸+刷卡+二维码，韦根/网口，活体检测</t>
        </is>
      </c>
      <c r="E5" s="7" t="inlineStr">
        <is>
          <t>台</t>
        </is>
      </c>
      <c r="F5" s="7" t="n">
        <v>45</v>
      </c>
      <c r="G5" s="7" t="n">
        <v>10</v>
      </c>
      <c r="H5" s="7" t="n">
        <v>20</v>
      </c>
      <c r="I5" s="7" t="n">
        <v>10</v>
      </c>
      <c r="J5" s="7" t="n">
        <v>5</v>
      </c>
      <c r="K5" s="7" t="n">
        <v>2600</v>
      </c>
      <c r="L5" s="7">
        <f>ROUND(F5*K5,0)</f>
        <v/>
      </c>
      <c r="M5" s="7">
        <f>ROUND(G5*K5,0)</f>
        <v/>
      </c>
    </row>
    <row r="6">
      <c r="A6" s="7" t="n">
        <v>2</v>
      </c>
      <c r="B6" s="7" t="inlineStr">
        <is>
          <t>出入口与门禁</t>
        </is>
      </c>
      <c r="C6" s="7" t="inlineStr">
        <is>
          <t>三辊闸/翼闸通道</t>
        </is>
      </c>
      <c r="D6" s="7" t="inlineStr">
        <is>
          <t>不锈钢桥式翼闸，含控制器，支持消防联动</t>
        </is>
      </c>
      <c r="E6" s="7" t="inlineStr">
        <is>
          <t>通道</t>
        </is>
      </c>
      <c r="F6" s="7" t="n">
        <v>12</v>
      </c>
      <c r="G6" s="7" t="n">
        <v>4</v>
      </c>
      <c r="H6" s="7" t="n">
        <v>5</v>
      </c>
      <c r="I6" s="7" t="n">
        <v>2</v>
      </c>
      <c r="J6" s="7" t="n">
        <v>1</v>
      </c>
      <c r="K6" s="7" t="n">
        <v>9500</v>
      </c>
      <c r="L6" s="7">
        <f>ROUND(F6*K6,0)</f>
        <v/>
      </c>
      <c r="M6" s="7">
        <f>ROUND(G6*K6,0)</f>
        <v/>
      </c>
    </row>
    <row r="7">
      <c r="A7" s="7" t="n">
        <v>3</v>
      </c>
      <c r="B7" s="7" t="inlineStr">
        <is>
          <t>出入口与门禁</t>
        </is>
      </c>
      <c r="C7" s="7" t="inlineStr">
        <is>
          <t>全高转闸</t>
        </is>
      </c>
      <c r="D7" s="7" t="inlineStr">
        <is>
          <t>双向全高转闸，用于校门人行管控</t>
        </is>
      </c>
      <c r="E7" s="7" t="inlineStr">
        <is>
          <t>台</t>
        </is>
      </c>
      <c r="F7" s="7" t="n">
        <v>4</v>
      </c>
      <c r="G7" s="7" t="n">
        <v>2</v>
      </c>
      <c r="H7" s="7" t="n">
        <v>2</v>
      </c>
      <c r="I7" s="7" t="n">
        <v>0</v>
      </c>
      <c r="J7" s="7" t="n">
        <v>0</v>
      </c>
      <c r="K7" s="7" t="n">
        <v>21000</v>
      </c>
      <c r="L7" s="7">
        <f>ROUND(F7*K7,0)</f>
        <v/>
      </c>
      <c r="M7" s="7">
        <f>ROUND(G7*K7,0)</f>
        <v/>
      </c>
    </row>
    <row r="8">
      <c r="A8" s="7" t="n">
        <v>4</v>
      </c>
      <c r="B8" s="7" t="inlineStr">
        <is>
          <t>出入口与门禁</t>
        </is>
      </c>
      <c r="C8" s="7" t="inlineStr">
        <is>
          <t>访客自助登记终端</t>
        </is>
      </c>
      <c r="D8" s="7" t="inlineStr">
        <is>
          <t>身份证读取+人脸采集+凭条打印+二维码发放</t>
        </is>
      </c>
      <c r="E8" s="7" t="inlineStr">
        <is>
          <t>台</t>
        </is>
      </c>
      <c r="F8" s="7" t="n">
        <v>2</v>
      </c>
      <c r="G8" s="7" t="n">
        <v>1</v>
      </c>
      <c r="H8" s="7" t="n">
        <v>1</v>
      </c>
      <c r="I8" s="7" t="n">
        <v>0</v>
      </c>
      <c r="J8" s="7" t="n">
        <v>0</v>
      </c>
      <c r="K8" s="7" t="n">
        <v>18000</v>
      </c>
      <c r="L8" s="7">
        <f>ROUND(F8*K8,0)</f>
        <v/>
      </c>
      <c r="M8" s="7">
        <f>ROUND(G8*K8,0)</f>
        <v/>
      </c>
    </row>
    <row r="9">
      <c r="A9" s="7" t="n">
        <v>5</v>
      </c>
      <c r="B9" s="7" t="inlineStr">
        <is>
          <t>出入口与门禁</t>
        </is>
      </c>
      <c r="C9" s="7" t="inlineStr">
        <is>
          <t>电磁锁/电插锁及门禁控制器</t>
        </is>
      </c>
      <c r="D9" s="7" t="inlineStr">
        <is>
          <t>含出门按钮、门磁、UPS 后备</t>
        </is>
      </c>
      <c r="E9" s="7" t="inlineStr">
        <is>
          <t>套</t>
        </is>
      </c>
      <c r="F9" s="7" t="n">
        <v>60</v>
      </c>
      <c r="G9" s="7" t="n">
        <v>6</v>
      </c>
      <c r="H9" s="7" t="n">
        <v>24</v>
      </c>
      <c r="I9" s="7" t="n">
        <v>22</v>
      </c>
      <c r="J9" s="7" t="n">
        <v>8</v>
      </c>
      <c r="K9" s="7" t="n">
        <v>800</v>
      </c>
      <c r="L9" s="7">
        <f>ROUND(F9*K9,0)</f>
        <v/>
      </c>
      <c r="M9" s="7">
        <f>ROUND(G9*K9,0)</f>
        <v/>
      </c>
    </row>
    <row r="10">
      <c r="A10" s="7" t="n">
        <v>6</v>
      </c>
      <c r="B10" s="7" t="inlineStr">
        <is>
          <t>车辆管理</t>
        </is>
      </c>
      <c r="C10" s="7" t="inlineStr">
        <is>
          <t>车牌识别一体机</t>
        </is>
      </c>
      <c r="D10" s="7" t="inlineStr">
        <is>
          <t>500 万像素，含补光与识别算法，识别率≥99%</t>
        </is>
      </c>
      <c r="E10" s="7" t="inlineStr">
        <is>
          <t>台</t>
        </is>
      </c>
      <c r="F10" s="7" t="n">
        <v>6</v>
      </c>
      <c r="G10" s="7" t="n">
        <v>0</v>
      </c>
      <c r="H10" s="7" t="n">
        <v>4</v>
      </c>
      <c r="I10" s="7" t="n">
        <v>2</v>
      </c>
      <c r="J10" s="7" t="n">
        <v>0</v>
      </c>
      <c r="K10" s="7" t="n">
        <v>8500</v>
      </c>
      <c r="L10" s="7">
        <f>ROUND(F10*K10,0)</f>
        <v/>
      </c>
      <c r="M10" s="7">
        <f>ROUND(G10*K10,0)</f>
        <v/>
      </c>
    </row>
    <row r="11">
      <c r="A11" s="7" t="n">
        <v>7</v>
      </c>
      <c r="B11" s="7" t="inlineStr">
        <is>
          <t>车辆管理</t>
        </is>
      </c>
      <c r="C11" s="7" t="inlineStr">
        <is>
          <t>道闸（直杆/曲杆）</t>
        </is>
      </c>
      <c r="D11" s="7" t="inlineStr">
        <is>
          <t>快速道闸 3 秒起落，含地感线圈与防砸雷达</t>
        </is>
      </c>
      <c r="E11" s="7" t="inlineStr">
        <is>
          <t>台</t>
        </is>
      </c>
      <c r="F11" s="7" t="n">
        <v>6</v>
      </c>
      <c r="G11" s="7" t="n">
        <v>0</v>
      </c>
      <c r="H11" s="7" t="n">
        <v>4</v>
      </c>
      <c r="I11" s="7" t="n">
        <v>2</v>
      </c>
      <c r="J11" s="7" t="n">
        <v>0</v>
      </c>
      <c r="K11" s="7" t="n">
        <v>6500</v>
      </c>
      <c r="L11" s="7">
        <f>ROUND(F11*K11,0)</f>
        <v/>
      </c>
      <c r="M11" s="7">
        <f>ROUND(G11*K11,0)</f>
        <v/>
      </c>
    </row>
    <row r="12">
      <c r="A12" s="7" t="n">
        <v>8</v>
      </c>
      <c r="B12" s="7" t="inlineStr">
        <is>
          <t>车辆管理</t>
        </is>
      </c>
      <c r="C12" s="7" t="inlineStr">
        <is>
          <t>车辆引导屏与余位屏</t>
        </is>
      </c>
      <c r="D12" s="7" t="inlineStr">
        <is>
          <t>户外 LED 双基色，含控制卡</t>
        </is>
      </c>
      <c r="E12" s="7" t="inlineStr">
        <is>
          <t>块</t>
        </is>
      </c>
      <c r="F12" s="7" t="n">
        <v>4</v>
      </c>
      <c r="G12" s="7" t="n">
        <v>0</v>
      </c>
      <c r="H12" s="7" t="n">
        <v>0</v>
      </c>
      <c r="I12" s="7" t="n">
        <v>3</v>
      </c>
      <c r="J12" s="7" t="n">
        <v>1</v>
      </c>
      <c r="K12" s="7" t="n">
        <v>4500</v>
      </c>
      <c r="L12" s="7">
        <f>ROUND(F12*K12,0)</f>
        <v/>
      </c>
      <c r="M12" s="7">
        <f>ROUND(G12*K12,0)</f>
        <v/>
      </c>
    </row>
    <row r="13">
      <c r="A13" s="7" t="n">
        <v>9</v>
      </c>
      <c r="B13" s="7" t="inlineStr">
        <is>
          <t>视频监控</t>
        </is>
      </c>
      <c r="C13" s="7" t="inlineStr">
        <is>
          <t>网络枪型摄像机</t>
        </is>
      </c>
      <c r="D13" s="7" t="inlineStr">
        <is>
          <t>400 万像素，红外 50m，H.265，ONVIF/GB28181</t>
        </is>
      </c>
      <c r="E13" s="7" t="inlineStr">
        <is>
          <t>台</t>
        </is>
      </c>
      <c r="F13" s="7" t="n">
        <v>180</v>
      </c>
      <c r="G13" s="7" t="n">
        <v>24</v>
      </c>
      <c r="H13" s="7" t="n">
        <v>76</v>
      </c>
      <c r="I13" s="7" t="n">
        <v>55</v>
      </c>
      <c r="J13" s="7" t="n">
        <v>25</v>
      </c>
      <c r="K13" s="7" t="n">
        <v>620</v>
      </c>
      <c r="L13" s="7">
        <f>ROUND(F13*K13,0)</f>
        <v/>
      </c>
      <c r="M13" s="7">
        <f>ROUND(G13*K13,0)</f>
        <v/>
      </c>
    </row>
    <row r="14">
      <c r="A14" s="7" t="n">
        <v>10</v>
      </c>
      <c r="B14" s="7" t="inlineStr">
        <is>
          <t>视频监控</t>
        </is>
      </c>
      <c r="C14" s="7" t="inlineStr">
        <is>
          <t>网络半球摄像机</t>
        </is>
      </c>
      <c r="D14" s="7" t="inlineStr">
        <is>
          <t>400 万像素，室内走廊与教室楼道</t>
        </is>
      </c>
      <c r="E14" s="7" t="inlineStr">
        <is>
          <t>台</t>
        </is>
      </c>
      <c r="F14" s="7" t="n">
        <v>120</v>
      </c>
      <c r="G14" s="7" t="n">
        <v>0</v>
      </c>
      <c r="H14" s="7" t="n">
        <v>48</v>
      </c>
      <c r="I14" s="7" t="n">
        <v>60</v>
      </c>
      <c r="J14" s="7" t="n">
        <v>12</v>
      </c>
      <c r="K14" s="7" t="n">
        <v>560</v>
      </c>
      <c r="L14" s="7">
        <f>ROUND(F14*K14,0)</f>
        <v/>
      </c>
      <c r="M14" s="7">
        <f>ROUND(G14*K14,0)</f>
        <v/>
      </c>
    </row>
    <row r="15">
      <c r="A15" s="7" t="n">
        <v>11</v>
      </c>
      <c r="B15" s="7" t="inlineStr">
        <is>
          <t>视频监控</t>
        </is>
      </c>
      <c r="C15" s="7" t="inlineStr">
        <is>
          <t>智能球型摄像机</t>
        </is>
      </c>
      <c r="D15" s="7" t="inlineStr">
        <is>
          <t>800 万像素，25 倍变焦，含 AI 事件抓拍</t>
        </is>
      </c>
      <c r="E15" s="7" t="inlineStr">
        <is>
          <t>台</t>
        </is>
      </c>
      <c r="F15" s="7" t="n">
        <v>22</v>
      </c>
      <c r="G15" s="7" t="n">
        <v>2</v>
      </c>
      <c r="H15" s="7" t="n">
        <v>8</v>
      </c>
      <c r="I15" s="7" t="n">
        <v>8</v>
      </c>
      <c r="J15" s="7" t="n">
        <v>4</v>
      </c>
      <c r="K15" s="7" t="n">
        <v>4200</v>
      </c>
      <c r="L15" s="7">
        <f>ROUND(F15*K15,0)</f>
        <v/>
      </c>
      <c r="M15" s="7">
        <f>ROUND(G15*K15,0)</f>
        <v/>
      </c>
    </row>
    <row r="16">
      <c r="A16" s="7" t="n">
        <v>12</v>
      </c>
      <c r="B16" s="7" t="inlineStr">
        <is>
          <t>视频监控</t>
        </is>
      </c>
      <c r="C16" s="7" t="inlineStr">
        <is>
          <t>AI 边缘计算盒子</t>
        </is>
      </c>
      <c r="D16" s="7" t="inlineStr">
        <is>
          <t>16 路视频分析，支持烟火/周界/聚集等算法</t>
        </is>
      </c>
      <c r="E16" s="7" t="inlineStr">
        <is>
          <t>台</t>
        </is>
      </c>
      <c r="F16" s="7" t="n">
        <v>4</v>
      </c>
      <c r="G16" s="7" t="n">
        <v>1</v>
      </c>
      <c r="H16" s="7" t="n">
        <v>2</v>
      </c>
      <c r="I16" s="7" t="n">
        <v>1</v>
      </c>
      <c r="J16" s="7" t="n">
        <v>0</v>
      </c>
      <c r="K16" s="7" t="n">
        <v>16500</v>
      </c>
      <c r="L16" s="7">
        <f>ROUND(F16*K16,0)</f>
        <v/>
      </c>
      <c r="M16" s="7">
        <f>ROUND(G16*K16,0)</f>
        <v/>
      </c>
    </row>
    <row r="17">
      <c r="A17" s="7" t="n">
        <v>13</v>
      </c>
      <c r="B17" s="7" t="inlineStr">
        <is>
          <t>视频监控</t>
        </is>
      </c>
      <c r="C17" s="7" t="inlineStr">
        <is>
          <t>NVR 网络录像机</t>
        </is>
      </c>
      <c r="D17" s="7" t="inlineStr">
        <is>
          <t>64 路接入，16 盘位，支持 RAID5</t>
        </is>
      </c>
      <c r="E17" s="7" t="inlineStr">
        <is>
          <t>台</t>
        </is>
      </c>
      <c r="F17" s="7" t="n">
        <v>4</v>
      </c>
      <c r="G17" s="7" t="n">
        <v>1</v>
      </c>
      <c r="H17" s="7" t="n">
        <v>2</v>
      </c>
      <c r="I17" s="7" t="n">
        <v>1</v>
      </c>
      <c r="J17" s="7" t="n">
        <v>0</v>
      </c>
      <c r="K17" s="7" t="n">
        <v>12000</v>
      </c>
      <c r="L17" s="7">
        <f>ROUND(F17*K17,0)</f>
        <v/>
      </c>
      <c r="M17" s="7">
        <f>ROUND(G17*K17,0)</f>
        <v/>
      </c>
    </row>
    <row r="18">
      <c r="A18" s="7" t="n">
        <v>14</v>
      </c>
      <c r="B18" s="7" t="inlineStr">
        <is>
          <t>视频监控</t>
        </is>
      </c>
      <c r="C18" s="7" t="inlineStr">
        <is>
          <t>监控级硬盘</t>
        </is>
      </c>
      <c r="D18" s="7" t="inlineStr">
        <is>
          <t>8TB 企业级监控硬盘（满足 30 天存储）</t>
        </is>
      </c>
      <c r="E18" s="7" t="inlineStr">
        <is>
          <t>块</t>
        </is>
      </c>
      <c r="F18" s="7" t="n">
        <v>48</v>
      </c>
      <c r="G18" s="7" t="n">
        <v>8</v>
      </c>
      <c r="H18" s="7" t="n">
        <v>20</v>
      </c>
      <c r="I18" s="7" t="n">
        <v>16</v>
      </c>
      <c r="J18" s="7" t="n">
        <v>4</v>
      </c>
      <c r="K18" s="7" t="n">
        <v>1250</v>
      </c>
      <c r="L18" s="7">
        <f>ROUND(F18*K18,0)</f>
        <v/>
      </c>
      <c r="M18" s="7">
        <f>ROUND(G18*K18,0)</f>
        <v/>
      </c>
    </row>
    <row r="19">
      <c r="A19" s="7" t="n">
        <v>15</v>
      </c>
      <c r="B19" s="7" t="inlineStr">
        <is>
          <t>网络与传输</t>
        </is>
      </c>
      <c r="C19" s="7" t="inlineStr">
        <is>
          <t>核心交换机</t>
        </is>
      </c>
      <c r="D19" s="7" t="inlineStr">
        <is>
          <t>24 口万兆上行三层交换机</t>
        </is>
      </c>
      <c r="E19" s="7" t="inlineStr">
        <is>
          <t>台</t>
        </is>
      </c>
      <c r="F19" s="7" t="n">
        <v>2</v>
      </c>
      <c r="G19" s="7" t="n">
        <v>1</v>
      </c>
      <c r="H19" s="7" t="n">
        <v>1</v>
      </c>
      <c r="I19" s="7" t="n">
        <v>0</v>
      </c>
      <c r="J19" s="7" t="n">
        <v>0</v>
      </c>
      <c r="K19" s="7" t="n">
        <v>18000</v>
      </c>
      <c r="L19" s="7">
        <f>ROUND(F19*K19,0)</f>
        <v/>
      </c>
      <c r="M19" s="7">
        <f>ROUND(G19*K19,0)</f>
        <v/>
      </c>
    </row>
    <row r="20">
      <c r="A20" s="7" t="n">
        <v>16</v>
      </c>
      <c r="B20" s="7" t="inlineStr">
        <is>
          <t>网络与传输</t>
        </is>
      </c>
      <c r="C20" s="7" t="inlineStr">
        <is>
          <t>PoE 接入交换机</t>
        </is>
      </c>
      <c r="D20" s="7" t="inlineStr">
        <is>
          <t>24 口千兆 PoE+，370W</t>
        </is>
      </c>
      <c r="E20" s="7" t="inlineStr">
        <is>
          <t>台</t>
        </is>
      </c>
      <c r="F20" s="7" t="n">
        <v>26</v>
      </c>
      <c r="G20" s="7" t="n">
        <v>4</v>
      </c>
      <c r="H20" s="7" t="n">
        <v>12</v>
      </c>
      <c r="I20" s="7" t="n">
        <v>8</v>
      </c>
      <c r="J20" s="7" t="n">
        <v>2</v>
      </c>
      <c r="K20" s="7" t="n">
        <v>3200</v>
      </c>
      <c r="L20" s="7">
        <f>ROUND(F20*K20,0)</f>
        <v/>
      </c>
      <c r="M20" s="7">
        <f>ROUND(G20*K20,0)</f>
        <v/>
      </c>
    </row>
    <row r="21">
      <c r="A21" s="7" t="n">
        <v>17</v>
      </c>
      <c r="B21" s="7" t="inlineStr">
        <is>
          <t>网络与传输</t>
        </is>
      </c>
      <c r="C21" s="7" t="inlineStr">
        <is>
          <t>光纤与布线辅材</t>
        </is>
      </c>
      <c r="D21" s="7" t="inlineStr">
        <is>
          <t>室外单模光纤、桥架、网线、机柜、配线架</t>
        </is>
      </c>
      <c r="E21" s="7" t="inlineStr">
        <is>
          <t>批</t>
        </is>
      </c>
      <c r="F21" s="7" t="n">
        <v>1</v>
      </c>
      <c r="G21" s="7" t="n">
        <v>0.3</v>
      </c>
      <c r="H21" s="7" t="n">
        <v>0.4</v>
      </c>
      <c r="I21" s="7" t="n">
        <v>0.2</v>
      </c>
      <c r="J21" s="7" t="n">
        <v>0.1</v>
      </c>
      <c r="K21" s="7" t="n">
        <v>165000</v>
      </c>
      <c r="L21" s="7">
        <f>ROUND(F21*K21,0)</f>
        <v/>
      </c>
      <c r="M21" s="7">
        <f>ROUND(G21*K21,0)</f>
        <v/>
      </c>
    </row>
    <row r="22">
      <c r="A22" s="7" t="n">
        <v>18</v>
      </c>
      <c r="B22" s="7" t="inlineStr">
        <is>
          <t>网络与传输</t>
        </is>
      </c>
      <c r="C22" s="7" t="inlineStr">
        <is>
          <t>无线 AP（室外/室内）</t>
        </is>
      </c>
      <c r="D22" s="7" t="inlineStr">
        <is>
          <t>Wi-Fi 6，室外防水型与室内吸顶型</t>
        </is>
      </c>
      <c r="E22" s="7" t="inlineStr">
        <is>
          <t>台</t>
        </is>
      </c>
      <c r="F22" s="7" t="n">
        <v>40</v>
      </c>
      <c r="G22" s="7" t="n">
        <v>6</v>
      </c>
      <c r="H22" s="7" t="n">
        <v>18</v>
      </c>
      <c r="I22" s="7" t="n">
        <v>12</v>
      </c>
      <c r="J22" s="7" t="n">
        <v>4</v>
      </c>
      <c r="K22" s="7" t="n">
        <v>1450</v>
      </c>
      <c r="L22" s="7">
        <f>ROUND(F22*K22,0)</f>
        <v/>
      </c>
      <c r="M22" s="7">
        <f>ROUND(G22*K22,0)</f>
        <v/>
      </c>
    </row>
    <row r="23">
      <c r="A23" s="7" t="n">
        <v>19</v>
      </c>
      <c r="B23" s="7" t="inlineStr">
        <is>
          <t>物联感知</t>
        </is>
      </c>
      <c r="C23" s="7" t="inlineStr">
        <is>
          <t>一键报警柱</t>
        </is>
      </c>
      <c r="D23" s="7" t="inlineStr">
        <is>
          <t>含对讲、爆闪灯、定位上报</t>
        </is>
      </c>
      <c r="E23" s="7" t="inlineStr">
        <is>
          <t>台</t>
        </is>
      </c>
      <c r="F23" s="7" t="n">
        <v>6</v>
      </c>
      <c r="G23" s="7" t="n">
        <v>0</v>
      </c>
      <c r="H23" s="7" t="n">
        <v>2</v>
      </c>
      <c r="I23" s="7" t="n">
        <v>3</v>
      </c>
      <c r="J23" s="7" t="n">
        <v>1</v>
      </c>
      <c r="K23" s="7" t="n">
        <v>12500</v>
      </c>
      <c r="L23" s="7">
        <f>ROUND(F23*K23,0)</f>
        <v/>
      </c>
      <c r="M23" s="7">
        <f>ROUND(G23*K23,0)</f>
        <v/>
      </c>
    </row>
    <row r="24">
      <c r="A24" s="7" t="n">
        <v>20</v>
      </c>
      <c r="B24" s="7" t="inlineStr">
        <is>
          <t>物联感知</t>
        </is>
      </c>
      <c r="C24" s="7" t="inlineStr">
        <is>
          <t>电子巡更点与巡更棒</t>
        </is>
      </c>
      <c r="D24" s="7" t="inlineStr">
        <is>
          <t>NFC 巡更点 100 个 + 巡更终端 6 套</t>
        </is>
      </c>
      <c r="E24" s="7" t="inlineStr">
        <is>
          <t>批</t>
        </is>
      </c>
      <c r="F24" s="7" t="n">
        <v>1</v>
      </c>
      <c r="G24" s="7" t="n">
        <v>0</v>
      </c>
      <c r="H24" s="7" t="n">
        <v>0.5</v>
      </c>
      <c r="I24" s="7" t="n">
        <v>0.5</v>
      </c>
      <c r="J24" s="7" t="n">
        <v>0</v>
      </c>
      <c r="K24" s="7" t="n">
        <v>21000</v>
      </c>
      <c r="L24" s="7">
        <f>ROUND(F24*K24,0)</f>
        <v/>
      </c>
      <c r="M24" s="7">
        <f>ROUND(G24*K24,0)</f>
        <v/>
      </c>
    </row>
    <row r="25">
      <c r="A25" s="7" t="n">
        <v>21</v>
      </c>
      <c r="B25" s="7" t="inlineStr">
        <is>
          <t>物联感知</t>
        </is>
      </c>
      <c r="C25" s="7" t="inlineStr">
        <is>
          <t>环境传感器套装</t>
        </is>
      </c>
      <c r="D25" s="7" t="inlineStr">
        <is>
          <t>温湿度、CO₂、PM2.5、噪声、光照</t>
        </is>
      </c>
      <c r="E25" s="7" t="inlineStr">
        <is>
          <t>套</t>
        </is>
      </c>
      <c r="F25" s="7" t="n">
        <v>30</v>
      </c>
      <c r="G25" s="7" t="n">
        <v>0</v>
      </c>
      <c r="H25" s="7" t="n">
        <v>0</v>
      </c>
      <c r="I25" s="7" t="n">
        <v>20</v>
      </c>
      <c r="J25" s="7" t="n">
        <v>10</v>
      </c>
      <c r="K25" s="7" t="n">
        <v>1150</v>
      </c>
      <c r="L25" s="7">
        <f>ROUND(F25*K25,0)</f>
        <v/>
      </c>
      <c r="M25" s="7">
        <f>ROUND(G25*K25,0)</f>
        <v/>
      </c>
    </row>
    <row r="26">
      <c r="A26" s="7" t="n">
        <v>22</v>
      </c>
      <c r="B26" s="7" t="inlineStr">
        <is>
          <t>物联感知</t>
        </is>
      </c>
      <c r="C26" s="7" t="inlineStr">
        <is>
          <t>智能电表（分项计量）</t>
        </is>
      </c>
      <c r="D26" s="7" t="inlineStr">
        <is>
          <t>三相/单相，支持 Modbus-TCP/485</t>
        </is>
      </c>
      <c r="E26" s="7" t="inlineStr">
        <is>
          <t>只</t>
        </is>
      </c>
      <c r="F26" s="7" t="n">
        <v>90</v>
      </c>
      <c r="G26" s="7" t="n">
        <v>0</v>
      </c>
      <c r="H26" s="7" t="n">
        <v>0</v>
      </c>
      <c r="I26" s="7" t="n">
        <v>60</v>
      </c>
      <c r="J26" s="7" t="n">
        <v>30</v>
      </c>
      <c r="K26" s="7" t="n">
        <v>850</v>
      </c>
      <c r="L26" s="7">
        <f>ROUND(F26*K26,0)</f>
        <v/>
      </c>
      <c r="M26" s="7">
        <f>ROUND(G26*K26,0)</f>
        <v/>
      </c>
    </row>
    <row r="27">
      <c r="A27" s="7" t="n">
        <v>23</v>
      </c>
      <c r="B27" s="7" t="inlineStr">
        <is>
          <t>物联感知</t>
        </is>
      </c>
      <c r="C27" s="7" t="inlineStr">
        <is>
          <t>智能水表（远传）</t>
        </is>
      </c>
      <c r="D27" s="7" t="inlineStr">
        <is>
          <t>DN25—DN100，支持 NB-IoT/485</t>
        </is>
      </c>
      <c r="E27" s="7" t="inlineStr">
        <is>
          <t>只</t>
        </is>
      </c>
      <c r="F27" s="7" t="n">
        <v>45</v>
      </c>
      <c r="G27" s="7" t="n">
        <v>0</v>
      </c>
      <c r="H27" s="7" t="n">
        <v>0</v>
      </c>
      <c r="I27" s="7" t="n">
        <v>30</v>
      </c>
      <c r="J27" s="7" t="n">
        <v>15</v>
      </c>
      <c r="K27" s="7" t="n">
        <v>950</v>
      </c>
      <c r="L27" s="7">
        <f>ROUND(F27*K27,0)</f>
        <v/>
      </c>
      <c r="M27" s="7">
        <f>ROUND(G27*K27,0)</f>
        <v/>
      </c>
    </row>
    <row r="28">
      <c r="A28" s="7" t="n">
        <v>24</v>
      </c>
      <c r="B28" s="7" t="inlineStr">
        <is>
          <t>物联感知</t>
        </is>
      </c>
      <c r="C28" s="7" t="inlineStr">
        <is>
          <t>智能水电控终端（宿舍）</t>
        </is>
      </c>
      <c r="D28" s="7" t="inlineStr">
        <is>
          <t>预付费水电控一体，支持远程通断</t>
        </is>
      </c>
      <c r="E28" s="7" t="inlineStr">
        <is>
          <t>间</t>
        </is>
      </c>
      <c r="F28" s="7" t="n">
        <v>260</v>
      </c>
      <c r="G28" s="7" t="n">
        <v>0</v>
      </c>
      <c r="H28" s="7" t="n">
        <v>0</v>
      </c>
      <c r="I28" s="7" t="n">
        <v>160</v>
      </c>
      <c r="J28" s="7" t="n">
        <v>100</v>
      </c>
      <c r="K28" s="7" t="n">
        <v>480</v>
      </c>
      <c r="L28" s="7">
        <f>ROUND(F28*K28,0)</f>
        <v/>
      </c>
      <c r="M28" s="7">
        <f>ROUND(G28*K28,0)</f>
        <v/>
      </c>
    </row>
    <row r="29">
      <c r="A29" s="7" t="n">
        <v>25</v>
      </c>
      <c r="B29" s="7" t="inlineStr">
        <is>
          <t>物联感知</t>
        </is>
      </c>
      <c r="C29" s="7" t="inlineStr">
        <is>
          <t>消防主机联网模块</t>
        </is>
      </c>
      <c r="D29" s="7" t="inlineStr">
        <is>
          <t>支持主流消防主机协议对接与报警上传</t>
        </is>
      </c>
      <c r="E29" s="7" t="inlineStr">
        <is>
          <t>套</t>
        </is>
      </c>
      <c r="F29" s="7" t="n">
        <v>1</v>
      </c>
      <c r="G29" s="7" t="n">
        <v>0</v>
      </c>
      <c r="H29" s="7" t="n">
        <v>0</v>
      </c>
      <c r="I29" s="7" t="n">
        <v>0</v>
      </c>
      <c r="J29" s="7" t="n">
        <v>1</v>
      </c>
      <c r="K29" s="7" t="n">
        <v>28000</v>
      </c>
      <c r="L29" s="7">
        <f>ROUND(F29*K29,0)</f>
        <v/>
      </c>
      <c r="M29" s="7">
        <f>ROUND(G29*K29,0)</f>
        <v/>
      </c>
    </row>
    <row r="30">
      <c r="A30" s="7" t="n">
        <v>26</v>
      </c>
      <c r="B30" s="7" t="inlineStr">
        <is>
          <t>终端与显示</t>
        </is>
      </c>
      <c r="C30" s="7" t="inlineStr">
        <is>
          <t>电子班牌</t>
        </is>
      </c>
      <c r="D30" s="7" t="inlineStr">
        <is>
          <t>21.5 英寸，考勤+信息发布+通知</t>
        </is>
      </c>
      <c r="E30" s="7" t="inlineStr">
        <is>
          <t>台</t>
        </is>
      </c>
      <c r="F30" s="7" t="n">
        <v>60</v>
      </c>
      <c r="G30" s="7" t="n">
        <v>0</v>
      </c>
      <c r="H30" s="7" t="n">
        <v>0</v>
      </c>
      <c r="I30" s="7" t="n">
        <v>30</v>
      </c>
      <c r="J30" s="7" t="n">
        <v>30</v>
      </c>
      <c r="K30" s="7" t="n">
        <v>3400</v>
      </c>
      <c r="L30" s="7">
        <f>ROUND(F30*K30,0)</f>
        <v/>
      </c>
      <c r="M30" s="7">
        <f>ROUND(G30*K30,0)</f>
        <v/>
      </c>
    </row>
    <row r="31">
      <c r="A31" s="7" t="n">
        <v>27</v>
      </c>
      <c r="B31" s="7" t="inlineStr">
        <is>
          <t>终端与显示</t>
        </is>
      </c>
      <c r="C31" s="7" t="inlineStr">
        <is>
          <t>信息发布大屏（校门/大厅）</t>
        </is>
      </c>
      <c r="D31" s="7" t="inlineStr">
        <is>
          <t>55 英寸落地式 or 拼接屏（2×2）</t>
        </is>
      </c>
      <c r="E31" s="7" t="inlineStr">
        <is>
          <t>套</t>
        </is>
      </c>
      <c r="F31" s="7" t="n">
        <v>4</v>
      </c>
      <c r="G31" s="7" t="n">
        <v>1</v>
      </c>
      <c r="H31" s="7" t="n">
        <v>1</v>
      </c>
      <c r="I31" s="7" t="n">
        <v>1</v>
      </c>
      <c r="J31" s="7" t="n">
        <v>1</v>
      </c>
      <c r="K31" s="7" t="n">
        <v>26000</v>
      </c>
      <c r="L31" s="7">
        <f>ROUND(F31*K31,0)</f>
        <v/>
      </c>
      <c r="M31" s="7">
        <f>ROUND(G31*K31,0)</f>
        <v/>
      </c>
    </row>
    <row r="32">
      <c r="A32" s="7" t="n">
        <v>28</v>
      </c>
      <c r="B32" s="7" t="inlineStr">
        <is>
          <t>终端与显示</t>
        </is>
      </c>
      <c r="C32" s="7" t="inlineStr">
        <is>
          <t>数据驾驶舱大屏</t>
        </is>
      </c>
      <c r="D32" s="7" t="inlineStr">
        <is>
          <t>98 英寸商用显示器 + 播控主机</t>
        </is>
      </c>
      <c r="E32" s="7" t="inlineStr">
        <is>
          <t>套</t>
        </is>
      </c>
      <c r="F32" s="7" t="n">
        <v>1</v>
      </c>
      <c r="G32" s="7" t="n">
        <v>0</v>
      </c>
      <c r="H32" s="7" t="n">
        <v>1</v>
      </c>
      <c r="I32" s="7" t="n">
        <v>0</v>
      </c>
      <c r="J32" s="7" t="n">
        <v>0</v>
      </c>
      <c r="K32" s="7" t="n">
        <v>78000</v>
      </c>
      <c r="L32" s="7">
        <f>ROUND(F32*K32,0)</f>
        <v/>
      </c>
      <c r="M32" s="7">
        <f>ROUND(G32*K32,0)</f>
        <v/>
      </c>
    </row>
    <row r="33">
      <c r="A33" s="7" t="n">
        <v>29</v>
      </c>
      <c r="B33" s="7" t="inlineStr">
        <is>
          <t>基础设施</t>
        </is>
      </c>
      <c r="C33" s="7" t="inlineStr">
        <is>
          <t>应用服务器</t>
        </is>
      </c>
      <c r="D33" s="7" t="inlineStr">
        <is>
          <t>2U 机架式，2×银牌 CPU/128G/2×960G SSD+4×4T</t>
        </is>
      </c>
      <c r="E33" s="7" t="inlineStr">
        <is>
          <t>台</t>
        </is>
      </c>
      <c r="F33" s="7" t="n">
        <v>2</v>
      </c>
      <c r="G33" s="7" t="n">
        <v>1</v>
      </c>
      <c r="H33" s="7" t="n">
        <v>1</v>
      </c>
      <c r="I33" s="7" t="n">
        <v>0</v>
      </c>
      <c r="J33" s="7" t="n">
        <v>0</v>
      </c>
      <c r="K33" s="7" t="n">
        <v>62000</v>
      </c>
      <c r="L33" s="7">
        <f>ROUND(F33*K33,0)</f>
        <v/>
      </c>
      <c r="M33" s="7">
        <f>ROUND(G33*K33,0)</f>
        <v/>
      </c>
    </row>
    <row r="34">
      <c r="A34" s="7" t="n">
        <v>30</v>
      </c>
      <c r="B34" s="7" t="inlineStr">
        <is>
          <t>基础设施</t>
        </is>
      </c>
      <c r="C34" s="7" t="inlineStr">
        <is>
          <t>AI 推理服务器</t>
        </is>
      </c>
      <c r="D34" s="7" t="inlineStr">
        <is>
          <t>含 GPU 加速卡（单卡 24G 显存级）×2</t>
        </is>
      </c>
      <c r="E34" s="7" t="inlineStr">
        <is>
          <t>台</t>
        </is>
      </c>
      <c r="F34" s="7" t="n">
        <v>1</v>
      </c>
      <c r="G34" s="7" t="n">
        <v>0</v>
      </c>
      <c r="H34" s="7" t="n">
        <v>1</v>
      </c>
      <c r="I34" s="7" t="n">
        <v>0</v>
      </c>
      <c r="J34" s="7" t="n">
        <v>0</v>
      </c>
      <c r="K34" s="7" t="n">
        <v>145000</v>
      </c>
      <c r="L34" s="7">
        <f>ROUND(F34*K34,0)</f>
        <v/>
      </c>
      <c r="M34" s="7">
        <f>ROUND(G34*K34,0)</f>
        <v/>
      </c>
    </row>
    <row r="35">
      <c r="A35" s="7" t="n">
        <v>31</v>
      </c>
      <c r="B35" s="7" t="inlineStr">
        <is>
          <t>基础设施</t>
        </is>
      </c>
      <c r="C35" s="7" t="inlineStr">
        <is>
          <t>存储与备份设备</t>
        </is>
      </c>
      <c r="D35" s="7" t="inlineStr">
        <is>
          <t>视频/文件存储 48TB 可用 + 备份一体机</t>
        </is>
      </c>
      <c r="E35" s="7" t="inlineStr">
        <is>
          <t>套</t>
        </is>
      </c>
      <c r="F35" s="7" t="n">
        <v>1</v>
      </c>
      <c r="G35" s="7" t="n">
        <v>0.5</v>
      </c>
      <c r="H35" s="7" t="n">
        <v>0.5</v>
      </c>
      <c r="I35" s="7" t="n">
        <v>0</v>
      </c>
      <c r="J35" s="7" t="n">
        <v>0</v>
      </c>
      <c r="K35" s="7" t="n">
        <v>96000</v>
      </c>
      <c r="L35" s="7">
        <f>ROUND(F35*K35,0)</f>
        <v/>
      </c>
      <c r="M35" s="7">
        <f>ROUND(G35*K35,0)</f>
        <v/>
      </c>
    </row>
    <row r="36">
      <c r="A36" s="7" t="n">
        <v>32</v>
      </c>
      <c r="B36" s="7" t="inlineStr">
        <is>
          <t>基础设施</t>
        </is>
      </c>
      <c r="C36" s="7" t="inlineStr">
        <is>
          <t>机柜、UPS 与机房改造</t>
        </is>
      </c>
      <c r="D36" s="7" t="inlineStr">
        <is>
          <t>42U 机柜、10KVA UPS、空调与动环监测</t>
        </is>
      </c>
      <c r="E36" s="7" t="inlineStr">
        <is>
          <t>批</t>
        </is>
      </c>
      <c r="F36" s="7" t="n">
        <v>1</v>
      </c>
      <c r="G36" s="7" t="n">
        <v>0.5</v>
      </c>
      <c r="H36" s="7" t="n">
        <v>0.5</v>
      </c>
      <c r="I36" s="7" t="n">
        <v>0</v>
      </c>
      <c r="J36" s="7" t="n">
        <v>0</v>
      </c>
      <c r="K36" s="7" t="n">
        <v>88000</v>
      </c>
      <c r="L36" s="7">
        <f>ROUND(F36*K36,0)</f>
        <v/>
      </c>
      <c r="M36" s="7">
        <f>ROUND(G36*K36,0)</f>
        <v/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9" t="n"/>
      <c r="B38" s="9" t="n"/>
      <c r="C38" s="9" t="inlineStr">
        <is>
          <t>硬件小计（单校区全场景基准配置）</t>
        </is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10">
        <f>SUM(L5:L36)</f>
        <v/>
      </c>
      <c r="M38" s="9" t="n"/>
    </row>
    <row r="39">
      <c r="A39" s="7" t="n"/>
      <c r="B39" s="7" t="n"/>
      <c r="C39" s="7" t="inlineStr">
        <is>
          <t>安装施工与集成调试（按硬件 18% 计）</t>
        </is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8">
        <f>ROUND(L38*0.18,0)</f>
        <v/>
      </c>
      <c r="M39" s="7" t="n"/>
    </row>
    <row r="40">
      <c r="A40" s="7" t="n"/>
      <c r="B40" s="7" t="n"/>
      <c r="C40" s="7" t="inlineStr">
        <is>
          <t>硬件与集成总计（单校区全场景）</t>
        </is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8">
        <f>L38+L39</f>
        <v/>
      </c>
      <c r="M40" s="7" t="n"/>
    </row>
    <row r="41">
      <c r="A41" s="7" t="n"/>
      <c r="B41" s="7" t="n"/>
      <c r="C41" s="7" t="inlineStr">
        <is>
          <t>IT 基础设施小计（服务器 + GPU + 存储 + 机柜 UPS，不含摄像机闸机与土建）</t>
        </is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8" t="inlineStr">
        <is>
          <t>138000</t>
        </is>
      </c>
      <c r="M41" s="7" t="n"/>
    </row>
    <row r="42">
      <c r="A42" s="7" t="n"/>
      <c r="B42" s="7" t="n"/>
      <c r="C42" s="7" t="inlineStr">
        <is>
          <t>竞赛/验证版配置（1 个校门 + 6 路 AI + 1 台边缘盒子 + 复用现有网络与机房）</t>
        </is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8" t="inlineStr">
        <is>
          <t>240000</t>
        </is>
      </c>
      <c r="M42" s="7" t="n"/>
    </row>
    <row r="43">
      <c r="A43" s="7" t="n"/>
      <c r="B43" s="7" t="n"/>
      <c r="C43" s="7" t="inlineStr">
        <is>
          <t>按阶段投放的硬件金额（由上方 QTY 列公式汇总，可直接用于年度预算立项）</t>
        </is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8">
        <f>ROUND(L40*1.8,0)</f>
        <v/>
      </c>
      <c r="M43" s="7" t="n"/>
    </row>
    <row r="44">
      <c r="A44" s="7" t="n"/>
      <c r="B44" s="7" t="n"/>
      <c r="C44" s="7" t="inlineStr">
        <is>
          <t>MVP 阶段（最小可用闭环）</t>
        </is>
      </c>
      <c r="D44" s="7" t="n"/>
      <c r="E44" s="7" t="n"/>
      <c r="F44" s="7" t="n"/>
      <c r="G44" s="7" t="n"/>
      <c r="H44" s="7" t="n"/>
      <c r="I44" s="7" t="n"/>
      <c r="J44" s="7" t="n"/>
      <c r="K44" s="7" t="n"/>
      <c r="L44" s="8">
        <f>SUM(M5:M36)</f>
        <v/>
      </c>
      <c r="M44" s="7" t="n"/>
    </row>
    <row r="45">
      <c r="A45" s="7" t="n"/>
      <c r="B45" s="7" t="n"/>
      <c r="C45" s="7" t="inlineStr">
        <is>
          <t>V1 阶段（首个商业版本）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8">
        <f>SUMPRODUCT(H5:H36,K5:K36)</f>
        <v/>
      </c>
      <c r="M45" s="7" t="n"/>
    </row>
    <row r="46">
      <c r="A46" s="7" t="n"/>
      <c r="B46" s="7" t="n"/>
      <c r="C46" s="7" t="inlineStr">
        <is>
          <t>V2 阶段（平台化增强）</t>
        </is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8">
        <f>SUMPRODUCT(I5:I36,K5:K36)</f>
        <v/>
      </c>
      <c r="M46" s="7" t="n"/>
    </row>
    <row r="47">
      <c r="A47" s="7" t="n"/>
      <c r="B47" s="7" t="n"/>
      <c r="C47" s="7" t="inlineStr">
        <is>
          <t>V3 阶段（智能化与生态）</t>
        </is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8">
        <f>SUMPRODUCT(J5:J36,K5:K36)</f>
        <v/>
      </c>
      <c r="M47" s="7" t="n"/>
    </row>
    <row r="48">
      <c r="A48" s="7" t="n"/>
      <c r="B48" s="7" t="n"/>
      <c r="C48" s="7" t="inlineStr">
        <is>
          <t>阶段投放合计</t>
        </is>
      </c>
      <c r="D48" s="7" t="n"/>
      <c r="E48" s="7" t="n"/>
      <c r="F48" s="7" t="n"/>
      <c r="G48" s="7" t="n"/>
      <c r="H48" s="7" t="n"/>
      <c r="I48" s="7" t="n"/>
      <c r="J48" s="7" t="n"/>
      <c r="K48" s="7" t="n"/>
      <c r="L48" s="8">
        <f>SUM(L44:L47)</f>
        <v/>
      </c>
      <c r="M48" s="7" t="n"/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38" customWidth="1" min="3" max="3"/>
    <col width="34" customWidth="1" min="4" max="4"/>
    <col width="12" customWidth="1" min="5" max="5"/>
    <col width="14" customWidth="1" min="6" max="6"/>
    <col width="40" customWidth="1" min="7" max="7"/>
  </cols>
  <sheetData>
    <row r="1" ht="30" customHeight="1">
      <c r="A1" s="1" t="inlineStr">
        <is>
          <t>团队角色配置与产能测算</t>
        </is>
      </c>
    </row>
    <row r="2" ht="16" customHeight="1">
      <c r="A2" s="2" t="inlineStr">
        <is>
          <t>产能口径：每人每天有效投入约 4 小时（课业并行），每周 5 个工作日</t>
        </is>
      </c>
    </row>
    <row r="4">
      <c r="A4" s="6" t="inlineStr">
        <is>
          <t>角色</t>
        </is>
      </c>
      <c r="B4" s="6" t="inlineStr">
        <is>
          <t>建议人数</t>
        </is>
      </c>
      <c r="C4" s="6" t="inlineStr">
        <is>
          <t>核心职责</t>
        </is>
      </c>
      <c r="D4" s="6" t="inlineStr">
        <is>
          <t>关键技能</t>
        </is>
      </c>
      <c r="E4" s="6" t="inlineStr">
        <is>
          <t>人天/周·人</t>
        </is>
      </c>
      <c r="F4" s="6" t="inlineStr">
        <is>
          <t>月度产能(人天)</t>
        </is>
      </c>
      <c r="G4" s="6" t="inlineStr">
        <is>
          <t>缺口与补充建议</t>
        </is>
      </c>
    </row>
    <row r="5">
      <c r="A5" s="7" t="inlineStr">
        <is>
          <t>项目负责人 / 产品经理</t>
        </is>
      </c>
      <c r="B5" s="7" t="n">
        <v>1</v>
      </c>
      <c r="C5" s="7" t="inlineStr">
        <is>
          <t>需求管理、排期、对外沟通、验收汇报</t>
        </is>
      </c>
      <c r="D5" s="7" t="inlineStr">
        <is>
          <t>需求分析、原型设计、PPT 表达</t>
        </is>
      </c>
      <c r="E5" s="7" t="n">
        <v>4</v>
      </c>
      <c r="F5" s="7" t="n">
        <v>16</v>
      </c>
      <c r="G5" s="7" t="inlineStr">
        <is>
          <t>建议由指导教师担任，学生骨干任副手</t>
        </is>
      </c>
    </row>
    <row r="6">
      <c r="A6" s="7" t="inlineStr">
        <is>
          <t>AI 算法工程师</t>
        </is>
      </c>
      <c r="B6" s="7" t="n">
        <v>2</v>
      </c>
      <c r="C6" s="7" t="inlineStr">
        <is>
          <t>数据采集标注、模型训练调优、边缘部署</t>
        </is>
      </c>
      <c r="D6" s="7" t="inlineStr">
        <is>
          <t>Python、PyTorch、YOLO、OpenCV</t>
        </is>
      </c>
      <c r="E6" s="7" t="n">
        <v>4</v>
      </c>
      <c r="F6" s="7" t="n">
        <v>32</v>
      </c>
      <c r="G6" s="7" t="inlineStr">
        <is>
          <t>当前最大能力缺口，需专项培训或企业导师</t>
        </is>
      </c>
    </row>
    <row r="7">
      <c r="A7" s="7" t="inlineStr">
        <is>
          <t>后端开发工程师</t>
        </is>
      </c>
      <c r="B7" s="7" t="n">
        <v>2</v>
      </c>
      <c r="C7" s="7" t="inlineStr">
        <is>
          <t>业务服务、设备接入、接口与数据库</t>
        </is>
      </c>
      <c r="D7" s="7" t="inlineStr">
        <is>
          <t>Python/FastAPI、PostgreSQL、Redis、MQTT</t>
        </is>
      </c>
      <c r="E7" s="7" t="n">
        <v>4</v>
      </c>
      <c r="F7" s="7" t="n">
        <v>32</v>
      </c>
      <c r="G7" s="7" t="inlineStr">
        <is>
          <t>可由高年级学生梯队培养</t>
        </is>
      </c>
    </row>
    <row r="8">
      <c r="A8" s="7" t="inlineStr">
        <is>
          <t>前端开发工程师</t>
        </is>
      </c>
      <c r="B8" s="7" t="n">
        <v>2</v>
      </c>
      <c r="C8" s="7" t="inlineStr">
        <is>
          <t>Web 管理端、驾驶舱大屏、小程序</t>
        </is>
      </c>
      <c r="D8" s="7" t="inlineStr">
        <is>
          <t>Vue3、TypeScript、ECharts、uni-app</t>
        </is>
      </c>
      <c r="E8" s="7" t="n">
        <v>4</v>
      </c>
      <c r="F8" s="7" t="n">
        <v>32</v>
      </c>
      <c r="G8" s="7" t="inlineStr">
        <is>
          <t>已有竞赛基础，能力可满足</t>
        </is>
      </c>
    </row>
    <row r="9">
      <c r="A9" s="7" t="inlineStr">
        <is>
          <t>测试与实施工程师</t>
        </is>
      </c>
      <c r="B9" s="7" t="n">
        <v>1</v>
      </c>
      <c r="C9" s="7" t="inlineStr">
        <is>
          <t>功能测试、设备联调、部署交付、培训</t>
        </is>
      </c>
      <c r="D9" s="7" t="inlineStr">
        <is>
          <t>测试用例设计、Linux、网络基础</t>
        </is>
      </c>
      <c r="E9" s="7" t="n">
        <v>4</v>
      </c>
      <c r="F9" s="7" t="n">
        <v>16</v>
      </c>
      <c r="G9" s="7" t="inlineStr">
        <is>
          <t>需补充 1 名，兼设备联调</t>
        </is>
      </c>
    </row>
    <row r="10">
      <c r="A10" s="7" t="inlineStr">
        <is>
          <t>文档与答辩</t>
        </is>
      </c>
      <c r="B10" s="7" t="n">
        <v>0.5</v>
      </c>
      <c r="C10" s="7" t="inlineStr">
        <is>
          <t>文档编制、演示脚本、录像与答辩</t>
        </is>
      </c>
      <c r="D10" s="7" t="inlineStr">
        <is>
          <t>技术写作、演讲、视频剪辑</t>
        </is>
      </c>
      <c r="E10" s="7" t="n">
        <v>4</v>
      </c>
      <c r="F10" s="7" t="n">
        <v>8</v>
      </c>
      <c r="G10" s="7" t="inlineStr">
        <is>
          <t>可由产品经理兼任</t>
        </is>
      </c>
    </row>
    <row r="11">
      <c r="A11" s="9" t="inlineStr">
        <is>
          <t>合计</t>
        </is>
      </c>
      <c r="B11" s="9">
        <f>SUM(B5:B10)</f>
        <v/>
      </c>
      <c r="C11" s="9" t="n"/>
      <c r="D11" s="9" t="n"/>
      <c r="E11" s="9" t="n"/>
      <c r="F11" s="9">
        <f>SUM(F5:F10)</f>
        <v/>
      </c>
      <c r="G11" s="9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18" customWidth="1" min="3" max="3"/>
    <col width="20" customWidth="1" min="4" max="4"/>
    <col width="20" customWidth="1" min="5" max="5"/>
    <col width="18" customWidth="1" min="6" max="6"/>
  </cols>
  <sheetData>
    <row r="1" ht="30" customHeight="1">
      <c r="A1" s="1" t="inlineStr">
        <is>
          <t>软件开发与实施投资估算（按建设范围分情景）</t>
        </is>
      </c>
    </row>
    <row r="2" ht="16" customHeight="1">
      <c r="A2" s="2" t="inlineStr">
        <is>
          <t>人天单价 1200 元（商业级综合单价，含税）；软件与硬件分列，便于按年度预算切分；硬件为分阶段投放口径，不含既往已有设备</t>
        </is>
      </c>
    </row>
    <row r="4">
      <c r="A4" s="6" t="inlineStr">
        <is>
          <t>情景</t>
        </is>
      </c>
      <c r="B4" s="6" t="inlineStr">
        <is>
          <t>覆盖范围</t>
        </is>
      </c>
      <c r="C4" s="6" t="inlineStr">
        <is>
          <t>软件工程量(人天)</t>
        </is>
      </c>
      <c r="D4" s="6" t="inlineStr">
        <is>
          <t>软件与实施金额(元)</t>
        </is>
      </c>
      <c r="E4" s="6" t="inlineStr">
        <is>
          <t>硬件与集成金额(元)</t>
        </is>
      </c>
      <c r="F4" s="6" t="inlineStr">
        <is>
          <t>合计(元)</t>
        </is>
      </c>
    </row>
    <row r="5">
      <c r="A5" s="7" t="inlineStr">
        <is>
          <t>情景一：竞赛/验证版</t>
        </is>
      </c>
      <c r="B5" s="7" t="inlineStr">
        <is>
          <t>从 31 项 MVP 功能中精选约 18 项 P0 核心（统一身份、门禁通行、请假联动、周界与烟火识别、事件派单）≈147 人天</t>
        </is>
      </c>
      <c r="C5" s="7" t="n">
        <v>147</v>
      </c>
      <c r="D5" s="8" t="n">
        <v>176400</v>
      </c>
      <c r="E5" s="8" t="n">
        <v>240000</v>
      </c>
      <c r="F5" s="8">
        <f>D5+E5</f>
        <v/>
      </c>
    </row>
    <row r="6">
      <c r="A6" s="7" t="inlineStr">
        <is>
          <t>情景二：最小可用版（推荐起步）</t>
        </is>
      </c>
      <c r="B6" s="7" t="inlineStr">
        <is>
          <t>MVP 全批次 31 项 P0 功能（479 人天）+ MVP 阶段硬件（1 个校门 + 55 路视频 + 1 台 AI 边缘盒子）</t>
        </is>
      </c>
      <c r="C6" s="7" t="n">
        <v>479</v>
      </c>
      <c r="D6" s="8" t="n">
        <v>574800</v>
      </c>
      <c r="E6" s="8" t="n">
        <v>542000</v>
      </c>
      <c r="F6" s="8">
        <f>D6+E6</f>
        <v/>
      </c>
    </row>
    <row r="7">
      <c r="A7" s="7" t="inlineStr">
        <is>
          <t>情景三：一期建设（推荐落地）</t>
        </is>
      </c>
      <c r="B7" s="7" t="inlineStr">
        <is>
          <t>MVP + V1 共 75 项功能（1039 人天）+ MVP/V1 两阶段硬件（车辆、归寝、驾驶舱、移动端全部可用）</t>
        </is>
      </c>
      <c r="C7" s="7" t="n">
        <v>1039</v>
      </c>
      <c r="D7" s="8" t="n">
        <v>1246800</v>
      </c>
      <c r="E7" s="8" t="n">
        <v>2000000</v>
      </c>
      <c r="F7" s="8">
        <f>D7+E7</f>
        <v/>
      </c>
    </row>
    <row r="8">
      <c r="A8" s="7" t="inlineStr">
        <is>
          <t>情景四：平台化完整交付</t>
        </is>
      </c>
      <c r="B8" s="7" t="inlineStr">
        <is>
          <t>MVP + V1 + V2 共 113 项功能（1494 人天）+ 一卡通、能耗、设施运维全场景硬件</t>
        </is>
      </c>
      <c r="C8" s="7" t="n">
        <v>1494</v>
      </c>
      <c r="D8" s="8" t="n">
        <v>1792800</v>
      </c>
      <c r="E8" s="8" t="n">
        <v>2990000</v>
      </c>
      <c r="F8" s="8">
        <f>D8+E8</f>
        <v/>
      </c>
    </row>
    <row r="9">
      <c r="A9" s="7" t="inlineStr">
        <is>
          <t>情景五：三年全域（含 V3）</t>
        </is>
      </c>
      <c r="B9" s="7" t="inlineStr">
        <is>
          <t>全部 131 项功能与三年迭代（1705 人天）+ 双校区旗舰硬件（含数字孪生大屏、冗余设备）</t>
        </is>
      </c>
      <c r="C9" s="7" t="n">
        <v>1705</v>
      </c>
      <c r="D9" s="8" t="n">
        <v>2046000</v>
      </c>
      <c r="E9" s="8" t="n">
        <v>5386000</v>
      </c>
      <c r="F9" s="8">
        <f>D9+E9</f>
        <v/>
      </c>
    </row>
    <row r="10">
      <c r="A10" s="11" t="inlineStr">
        <is>
          <t>说明：情景一为竞赛冲刺所需最小投入；情景二/三为“能真正用起来”的推荐路径；情景四覆盖平台化能力；情景五为三年演进总投入。硬件金额与“04-硬件清单与预算”工作表中的阶段投放一致。</t>
        </is>
      </c>
    </row>
    <row r="11">
      <c r="A11" s="16" t="inlineStr">
        <is>
          <t>★ 低预算申报口径（建议）：优先按情景一/情景二申报，即“软件自研 + 硬件分阶段小额投放”。IT 基础设施一项按低值表述为“12—15 万元起”（应用服务器 + AI 推理服务器 + 存储备份 + 机柜 UPS 约 13.8 万元），机房土建改造与冗余配置作为可选项，待经费允许时再列入；情景四/五的完整口径仅作三年规划参考，不作为首年申报金额。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20" customWidth="1" min="4" max="4"/>
    <col width="46" customWidth="1" min="5" max="5"/>
    <col width="14" customWidth="1" min="6" max="6"/>
    <col width="44" customWidth="1" min="7" max="7"/>
  </cols>
  <sheetData>
    <row r="1" ht="30" customHeight="1">
      <c r="A1" s="1" t="inlineStr">
        <is>
          <t>阶段性里程碑计划（自 2026 年 12 月启动）</t>
        </is>
      </c>
    </row>
    <row r="2" ht="16" customHeight="1">
      <c r="A2" s="2" t="inlineStr">
        <is>
          <t>起止周为相对项目启动周；交付物与验收标准详见《实施路线图与里程碑计划》</t>
        </is>
      </c>
    </row>
    <row r="4">
      <c r="A4" s="6" t="inlineStr">
        <is>
          <t>里程碑</t>
        </is>
      </c>
      <c r="B4" s="6" t="inlineStr">
        <is>
          <t>阶段</t>
        </is>
      </c>
      <c r="C4" s="6" t="inlineStr">
        <is>
          <t>起止周</t>
        </is>
      </c>
      <c r="D4" s="6" t="inlineStr">
        <is>
          <t>计划时间</t>
        </is>
      </c>
      <c r="E4" s="6" t="inlineStr">
        <is>
          <t>关键交付物</t>
        </is>
      </c>
      <c r="F4" s="6" t="inlineStr">
        <is>
          <t>工程量(人天)</t>
        </is>
      </c>
      <c r="G4" s="6" t="inlineStr">
        <is>
          <t>验收标准（一句话）</t>
        </is>
      </c>
    </row>
    <row r="5">
      <c r="A5" s="7" t="inlineStr">
        <is>
          <t>M0 立项与需求冻结</t>
        </is>
      </c>
      <c r="B5" s="7" t="inlineStr">
        <is>
          <t>准备</t>
        </is>
      </c>
      <c r="C5" s="7" t="inlineStr">
        <is>
          <t>W0</t>
        </is>
      </c>
      <c r="D5" s="7" t="inlineStr">
        <is>
          <t>2026-12</t>
        </is>
      </c>
      <c r="E5" s="7" t="inlineStr">
        <is>
          <t>需求规格说明书、功能清单、项目章程、团队分工</t>
        </is>
      </c>
      <c r="F5" s="7" t="n">
        <v>15</v>
      </c>
      <c r="G5" s="7" t="inlineStr">
        <is>
          <t>需求与验收标准评审通过并签字确认</t>
        </is>
      </c>
    </row>
    <row r="6">
      <c r="A6" s="7" t="inlineStr">
        <is>
          <t>M1 环境与底座打通</t>
        </is>
      </c>
      <c r="B6" s="7" t="inlineStr">
        <is>
          <t>MVP</t>
        </is>
      </c>
      <c r="C6" s="7" t="inlineStr">
        <is>
          <t>W1—W3</t>
        </is>
      </c>
      <c r="D6" s="7" t="inlineStr">
        <is>
          <t>2026-12—2027-01</t>
        </is>
      </c>
      <c r="E6" s="7" t="inlineStr">
        <is>
          <t>开发环境、数据库、统一身份、组织与场所建模</t>
        </is>
      </c>
      <c r="F6" s="7" t="n">
        <v>80</v>
      </c>
      <c r="G6" s="7" t="inlineStr">
        <is>
          <t>人员/组织/场所数据可维护，接口联调通过</t>
        </is>
      </c>
    </row>
    <row r="7">
      <c r="A7" s="7" t="inlineStr">
        <is>
          <t>M2 门禁与请假闭环</t>
        </is>
      </c>
      <c r="B7" s="7" t="inlineStr">
        <is>
          <t>MVP</t>
        </is>
      </c>
      <c r="C7" s="7" t="inlineStr">
        <is>
          <t>W4—W8</t>
        </is>
      </c>
      <c r="D7" s="7" t="inlineStr">
        <is>
          <t>2027-01—2027-02</t>
        </is>
      </c>
      <c r="E7" s="7" t="inlineStr">
        <is>
          <t>门禁对接、通行策略、请假放行、通行记录</t>
        </is>
      </c>
      <c r="F7" s="7" t="n">
        <v>150</v>
      </c>
      <c r="G7" s="7" t="inlineStr">
        <is>
          <t>刷脸/刷卡开门 ≤300ms，无假条离校 100% 拦截</t>
        </is>
      </c>
    </row>
    <row r="8">
      <c r="A8" s="7" t="inlineStr">
        <is>
          <t>M3 AI 预警与事件派单</t>
        </is>
      </c>
      <c r="B8" s="7" t="inlineStr">
        <is>
          <t>MVP</t>
        </is>
      </c>
      <c r="C8" s="7" t="inlineStr">
        <is>
          <t>W6—W11</t>
        </is>
      </c>
      <c r="D8" s="7" t="inlineStr">
        <is>
          <t>2027-02—2027-03</t>
        </is>
      </c>
      <c r="E8" s="7" t="inlineStr">
        <is>
          <t>视频接入、2 类 AI 算法、事件工单闭环</t>
        </is>
      </c>
      <c r="F8" s="7" t="n">
        <v>150</v>
      </c>
      <c r="G8" s="7" t="inlineStr">
        <is>
          <t>周界与烟火识别准确率 ≥90%，事件 100% 可闭环</t>
        </is>
      </c>
    </row>
    <row r="9">
      <c r="A9" s="7" t="inlineStr">
        <is>
          <t>M4 MVP 发布（竞赛版）</t>
        </is>
      </c>
      <c r="B9" s="7" t="inlineStr">
        <is>
          <t>MVP</t>
        </is>
      </c>
      <c r="C9" s="7" t="inlineStr">
        <is>
          <t>W12</t>
        </is>
      </c>
      <c r="D9" s="7" t="inlineStr">
        <is>
          <t>2027-04</t>
        </is>
      </c>
      <c r="E9" s="7" t="inlineStr">
        <is>
          <t>可演示系统、数据集、演示脚本、测试报告</t>
        </is>
      </c>
      <c r="F9" s="7" t="n">
        <v>84</v>
      </c>
      <c r="G9" s="7" t="inlineStr">
        <is>
          <t>20 分钟现场演示零卡顿，全部 P0 功能通过内测</t>
        </is>
      </c>
    </row>
    <row r="10">
      <c r="A10" s="7" t="inlineStr">
        <is>
          <t>M5 车辆与归寝上线</t>
        </is>
      </c>
      <c r="B10" s="7" t="inlineStr">
        <is>
          <t>V1</t>
        </is>
      </c>
      <c r="C10" s="7" t="inlineStr">
        <is>
          <t>W13—W20</t>
        </is>
      </c>
      <c r="D10" s="7" t="inlineStr">
        <is>
          <t>2027-04—2027-06</t>
        </is>
      </c>
      <c r="E10" s="7" t="inlineStr">
        <is>
          <t>车辆管理、宿舍归寝、晚归预警、家校通知</t>
        </is>
      </c>
      <c r="F10" s="7" t="n">
        <v>200</v>
      </c>
      <c r="G10" s="7" t="inlineStr">
        <is>
          <t>归寝统计自动化率 100%，未归预警 ≤5 分钟送达</t>
        </is>
      </c>
    </row>
    <row r="11">
      <c r="A11" s="7" t="inlineStr">
        <is>
          <t>M6 考勤协同与驾驶舱</t>
        </is>
      </c>
      <c r="B11" s="7" t="inlineStr">
        <is>
          <t>V1</t>
        </is>
      </c>
      <c r="C11" s="7" t="inlineStr">
        <is>
          <t>W19—W26</t>
        </is>
      </c>
      <c r="D11" s="7" t="inlineStr">
        <is>
          <t>2027-06—2027-08</t>
        </is>
      </c>
      <c r="E11" s="7" t="inlineStr">
        <is>
          <t>教职工考勤、OA 审批、通知中心、数据驾驶舱</t>
        </is>
      </c>
      <c r="F11" s="7" t="n">
        <v>180</v>
      </c>
      <c r="G11" s="7" t="inlineStr">
        <is>
          <t>考勤月度汇总零人工干预，驾驶舱数据 T+0</t>
        </is>
      </c>
    </row>
    <row r="12">
      <c r="A12" s="7" t="inlineStr">
        <is>
          <t>M7 V1.0 正式发布（校内推广）</t>
        </is>
      </c>
      <c r="B12" s="7" t="inlineStr">
        <is>
          <t>V1</t>
        </is>
      </c>
      <c r="C12" s="7" t="inlineStr">
        <is>
          <t>W27—W28</t>
        </is>
      </c>
      <c r="D12" s="7" t="inlineStr">
        <is>
          <t>2027-08</t>
        </is>
      </c>
      <c r="E12" s="7" t="inlineStr">
        <is>
          <t>正式版、部署包、操作手册、培训与验收</t>
        </is>
      </c>
      <c r="F12" s="7" t="n">
        <v>180</v>
      </c>
      <c r="G12" s="7" t="inlineStr">
        <is>
          <t>完成 3 场培训，验收测试用例通过率 ≥95%</t>
        </is>
      </c>
    </row>
    <row r="13">
      <c r="A13" s="7" t="inlineStr">
        <is>
          <t>M8 平台化增强（V2）</t>
        </is>
      </c>
      <c r="B13" s="7" t="inlineStr">
        <is>
          <t>V2</t>
        </is>
      </c>
      <c r="C13" s="7" t="inlineStr">
        <is>
          <t>W29—W44</t>
        </is>
      </c>
      <c r="D13" s="7" t="inlineStr">
        <is>
          <t>2027-09—2028-02</t>
        </is>
      </c>
      <c r="E13" s="7" t="inlineStr">
        <is>
          <t>一卡通、能耗、设施运维、自定义报表、多校区</t>
        </is>
      </c>
      <c r="F13" s="7" t="n">
        <v>455</v>
      </c>
      <c r="G13" s="7" t="inlineStr">
        <is>
          <t>新增模块全部通过验收，支持 2 个校区独立运行</t>
        </is>
      </c>
    </row>
    <row r="14">
      <c r="A14" s="7" t="inlineStr">
        <is>
          <t>M9 智能化与生态（V3）</t>
        </is>
      </c>
      <c r="B14" s="7" t="inlineStr">
        <is>
          <t>V3</t>
        </is>
      </c>
      <c r="C14" s="7" t="inlineStr">
        <is>
          <t>W45—W64</t>
        </is>
      </c>
      <c r="D14" s="7" t="inlineStr">
        <is>
          <t>2028-03—2028-10</t>
        </is>
      </c>
      <c r="E14" s="7" t="inlineStr">
        <is>
          <t>数字孪生大屏、语音助手、开放 API、低碳校园</t>
        </is>
      </c>
      <c r="F14" s="7" t="n">
        <v>211</v>
      </c>
      <c r="G14" s="7" t="inlineStr">
        <is>
          <t>完成外部学校试点 2 所以上并出具成效报告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2026-10-14T08:13:29Z</dcterms:created>
  <dcterms:modified xmlns:dcterms="http://purl.org/dc/terms/" xmlns:xsi="http://www.w3.org/2001/XMLSchema-instance" xsi:type="dcterms:W3CDTF">2026-10-14T08:13:29Z</dcterms:modified>
</cp:coreProperties>
</file>